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Data Analytics\Assignment PW Excel\"/>
    </mc:Choice>
  </mc:AlternateContent>
  <xr:revisionPtr revIDLastSave="0" documentId="13_ncr:1_{3DD8C34E-A2F3-4B94-9287-E01AFE420031}" xr6:coauthVersionLast="47" xr6:coauthVersionMax="47" xr10:uidLastSave="{00000000-0000-0000-0000-000000000000}"/>
  <bookViews>
    <workbookView xWindow="-110" yWindow="-110" windowWidth="19420" windowHeight="10300" xr2:uid="{7C2D216D-21DC-4A4E-A995-E7DC0B97EE4A}"/>
  </bookViews>
  <sheets>
    <sheet name="Raw" sheetId="1" r:id="rId1"/>
    <sheet name="Pivot" sheetId="2" r:id="rId2"/>
    <sheet name="Dashboard" sheetId="3" r:id="rId3"/>
  </sheets>
  <definedNames>
    <definedName name="NativeTimeline_Date">#N/A</definedName>
    <definedName name="NativeTimeline_Date1">#N/A</definedName>
    <definedName name="Slicer_Product">#N/A</definedName>
    <definedName name="Slicer_Product1">#N/A</definedName>
    <definedName name="Slicer_Region">#N/A</definedName>
    <definedName name="Slicer_Salesperson">#N/A</definedName>
    <definedName name="Slicer_Salesperson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 i="1" l="1"/>
  <c r="I20" i="1"/>
  <c r="I19" i="1"/>
  <c r="I18" i="1"/>
  <c r="I17" i="1"/>
  <c r="I16" i="1"/>
  <c r="I15" i="1"/>
  <c r="I14" i="1"/>
  <c r="I13" i="1"/>
  <c r="I12" i="1"/>
  <c r="I11" i="1"/>
  <c r="I10" i="1"/>
  <c r="I9" i="1"/>
  <c r="AE8" i="1"/>
  <c r="I8" i="1"/>
  <c r="I7" i="1"/>
  <c r="I6" i="1"/>
  <c r="I5" i="1"/>
  <c r="I4" i="1"/>
  <c r="I3" i="1"/>
  <c r="I2" i="1"/>
  <c r="AF15" i="1" s="1"/>
  <c r="G73" i="2"/>
  <c r="F73" i="2"/>
  <c r="E73" i="2"/>
</calcChain>
</file>

<file path=xl/sharedStrings.xml><?xml version="1.0" encoding="utf-8"?>
<sst xmlns="http://schemas.openxmlformats.org/spreadsheetml/2006/main" count="203" uniqueCount="85">
  <si>
    <t>Date</t>
  </si>
  <si>
    <t>Region</t>
  </si>
  <si>
    <t>Salesperson</t>
  </si>
  <si>
    <t>Product</t>
  </si>
  <si>
    <t>Units Sold</t>
  </si>
  <si>
    <t>Revenue</t>
  </si>
  <si>
    <t>Discount</t>
  </si>
  <si>
    <t>Profit</t>
  </si>
  <si>
    <t>Profit Margin %</t>
  </si>
  <si>
    <t>East</t>
  </si>
  <si>
    <t>John Doe</t>
  </si>
  <si>
    <t>Laptop</t>
  </si>
  <si>
    <t>Q1.  PivotTable Creation:</t>
  </si>
  <si>
    <t>Q4.  PivotChart Analysis:</t>
  </si>
  <si>
    <t>Q8.  Conditional Formatting:</t>
  </si>
  <si>
    <t>West</t>
  </si>
  <si>
    <t>Jane Smith</t>
  </si>
  <si>
    <t>Phone</t>
  </si>
  <si>
    <t>North</t>
  </si>
  <si>
    <t>Adam Lee</t>
  </si>
  <si>
    <t>Tablet</t>
  </si>
  <si>
    <t>Create a PivotTable to summarize total revenue per region. Which region has the highest total revenue ?</t>
  </si>
  <si>
    <t>Create a PivotChart for Revenue by Product. Which product generates the most revenue?</t>
  </si>
  <si>
    <t>Apply conditional formatting to highlight sales where the Profit is below $1000. How many such sales are</t>
  </si>
  <si>
    <t>South</t>
  </si>
  <si>
    <t>Emily Clark</t>
  </si>
  <si>
    <t>Monitor</t>
  </si>
  <si>
    <t>there?</t>
  </si>
  <si>
    <t>Sum of Revenue</t>
  </si>
  <si>
    <t>Pivot Table has been created alongside.</t>
  </si>
  <si>
    <r>
      <t xml:space="preserve">North Region </t>
    </r>
    <r>
      <rPr>
        <sz val="11"/>
        <color theme="4"/>
        <rFont val="Aptos Narrow"/>
        <family val="2"/>
        <scheme val="minor"/>
      </rPr>
      <t xml:space="preserve"> has highest total revenue.</t>
    </r>
  </si>
  <si>
    <t>Conditional Formatting is applied in the Table. There are total 7 sales whose profit is less than 1000</t>
  </si>
  <si>
    <t>[ =COUNTIF(H2:H21,"&lt;1000") ]</t>
  </si>
  <si>
    <t>Grand Total</t>
  </si>
  <si>
    <t xml:space="preserve">Q9.  Calculated Field:  </t>
  </si>
  <si>
    <t>Monitor generates the most</t>
  </si>
  <si>
    <r>
      <t>Create a Profit Margin % calculated field as</t>
    </r>
    <r>
      <rPr>
        <b/>
        <sz val="11"/>
        <color theme="5"/>
        <rFont val="Aptos Narrow"/>
        <family val="2"/>
        <scheme val="minor"/>
      </rPr>
      <t xml:space="preserve"> (Profit / Revenue) * 100</t>
    </r>
    <r>
      <rPr>
        <b/>
        <sz val="11"/>
        <color theme="1"/>
        <rFont val="Aptos Narrow"/>
        <family val="2"/>
        <scheme val="minor"/>
      </rPr>
      <t>. What is the highest profit?</t>
    </r>
  </si>
  <si>
    <t>Q2.  Slicer Implementation:</t>
  </si>
  <si>
    <r>
      <t xml:space="preserve">Revenue of </t>
    </r>
    <r>
      <rPr>
        <b/>
        <sz val="11"/>
        <color theme="4"/>
        <rFont val="Aptos Narrow"/>
        <family val="2"/>
        <scheme val="minor"/>
      </rPr>
      <t>36800</t>
    </r>
  </si>
  <si>
    <t>margin in the dataset?</t>
  </si>
  <si>
    <t>[ =MAX(I2:I21) ]</t>
  </si>
  <si>
    <t>Add a slicer for the Salesperson column. How many unique salespersons are in the dataset?</t>
  </si>
  <si>
    <t>Highest Profit Margin is 22.22%</t>
  </si>
  <si>
    <t>The Slicer has been created alongside.</t>
  </si>
  <si>
    <t>Q10. Dashboard Creation:</t>
  </si>
  <si>
    <t>There are 4 Unique Salesperson in the dataset.</t>
  </si>
  <si>
    <t>Combine the PivotTables, PivotCharts, Slicers, and Timelines into a single interactive dashboard. Take a</t>
  </si>
  <si>
    <t>screenshot of your final dashboard.</t>
  </si>
  <si>
    <t>Q5.  Profitability Check:</t>
  </si>
  <si>
    <t>Dashboard is designed in a new sheet named Dashboard</t>
  </si>
  <si>
    <t>Using a PivotTable, find the salesperson with the highest total profit. Who is it?</t>
  </si>
  <si>
    <t>Q3.  Timeline Usage:</t>
  </si>
  <si>
    <t>Sum of Profit</t>
  </si>
  <si>
    <r>
      <t xml:space="preserve">Adam Lee has highest profit of </t>
    </r>
    <r>
      <rPr>
        <b/>
        <sz val="11"/>
        <color theme="4"/>
        <rFont val="Aptos Narrow"/>
        <family val="2"/>
        <scheme val="minor"/>
      </rPr>
      <t>7100</t>
    </r>
  </si>
  <si>
    <t>Insert a timeline for the Date column. What is the total revenue for January 2024 ?</t>
  </si>
  <si>
    <t>Q6.  Discount Impact:</t>
  </si>
  <si>
    <t>Timeline is given above</t>
  </si>
  <si>
    <t>Calculate the average discount applied per region using a PivotTable. Which region has the highest</t>
  </si>
  <si>
    <r>
      <t xml:space="preserve">Total Revenue of January 2024 is </t>
    </r>
    <r>
      <rPr>
        <b/>
        <sz val="11"/>
        <color theme="4"/>
        <rFont val="Aptos Narrow"/>
        <family val="2"/>
        <scheme val="minor"/>
      </rPr>
      <t>124400</t>
    </r>
  </si>
  <si>
    <t>average discount?</t>
  </si>
  <si>
    <t>Average of Discount</t>
  </si>
  <si>
    <r>
      <t xml:space="preserve">South </t>
    </r>
    <r>
      <rPr>
        <sz val="11"/>
        <color theme="4"/>
        <rFont val="Aptos Narrow"/>
        <family val="2"/>
        <scheme val="minor"/>
      </rPr>
      <t>region has the highest average discount of 9%.</t>
    </r>
  </si>
  <si>
    <t>Q7.  Filtering with Slicers:</t>
  </si>
  <si>
    <t>Apply a slicer to filter sales by Product = Laptop. What is the total revenue from laptop sales?</t>
  </si>
  <si>
    <t>Pivot_table_01</t>
  </si>
  <si>
    <t>Revenue by Region</t>
  </si>
  <si>
    <t>Pivot_table_02</t>
  </si>
  <si>
    <t>Revenue by Salesperson</t>
  </si>
  <si>
    <t>Pivot_table_03</t>
  </si>
  <si>
    <t>Units Sold by Product</t>
  </si>
  <si>
    <t>Sum of Units Sold</t>
  </si>
  <si>
    <t>Pivot_table_04</t>
  </si>
  <si>
    <t>Monthly Revenue Trend</t>
  </si>
  <si>
    <t>Pivot_table_05</t>
  </si>
  <si>
    <t>Profit by Region</t>
  </si>
  <si>
    <t>Pivot_table_06</t>
  </si>
  <si>
    <t>Discount Analysis</t>
  </si>
  <si>
    <t>Total Discount</t>
  </si>
  <si>
    <t>KPI_Pivots</t>
  </si>
  <si>
    <t>(single-value)</t>
  </si>
  <si>
    <t>Average of Profit Margin %</t>
  </si>
  <si>
    <t>Total revenue KPI</t>
  </si>
  <si>
    <t>Total Profit KPI</t>
  </si>
  <si>
    <t>Average Margin % KPI</t>
  </si>
  <si>
    <t>helper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</si>
</sst>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7\%"/>
  </numFmts>
  <fonts count="12" x14ac:knownFonts="1">
    <font>
      <sz val="11"/>
      <color theme="1"/>
      <name val="Aptos Narrow"/>
      <family val="2"/>
      <scheme val="minor"/>
    </font>
    <font>
      <b/>
      <sz val="11"/>
      <color theme="1"/>
      <name val="Aptos Narrow"/>
      <family val="2"/>
      <scheme val="minor"/>
    </font>
    <font>
      <sz val="11"/>
      <color theme="0"/>
      <name val="Aptos Narrow"/>
      <family val="2"/>
      <scheme val="minor"/>
    </font>
    <font>
      <b/>
      <sz val="10"/>
      <color theme="1"/>
      <name val="Arial"/>
      <family val="2"/>
    </font>
    <font>
      <sz val="10"/>
      <color theme="1"/>
      <name val="Arial"/>
      <family val="2"/>
    </font>
    <font>
      <b/>
      <sz val="12"/>
      <color theme="1"/>
      <name val="Aptos Narrow"/>
      <family val="2"/>
      <scheme val="minor"/>
    </font>
    <font>
      <sz val="11"/>
      <color theme="4"/>
      <name val="Aptos Narrow"/>
      <family val="2"/>
      <scheme val="minor"/>
    </font>
    <font>
      <b/>
      <sz val="11"/>
      <color theme="4"/>
      <name val="Aptos Narrow"/>
      <family val="2"/>
      <scheme val="minor"/>
    </font>
    <font>
      <b/>
      <sz val="11"/>
      <color theme="5"/>
      <name val="Aptos Narrow"/>
      <family val="2"/>
      <scheme val="minor"/>
    </font>
    <font>
      <b/>
      <sz val="11"/>
      <color rgb="FF000000"/>
      <name val="Aptos Narrow"/>
      <family val="2"/>
      <scheme val="minor"/>
    </font>
    <font>
      <b/>
      <sz val="16"/>
      <color theme="1"/>
      <name val="Aptos Narrow"/>
      <family val="2"/>
      <scheme val="minor"/>
    </font>
    <font>
      <i/>
      <sz val="11"/>
      <color theme="1"/>
      <name val="Aptos Narrow"/>
      <family val="2"/>
      <scheme val="minor"/>
    </font>
  </fonts>
  <fills count="10">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4"/>
        <bgColor indexed="64"/>
      </patternFill>
    </fill>
    <fill>
      <patternFill patternType="solid">
        <fgColor theme="5"/>
        <bgColor theme="4"/>
      </patternFill>
    </fill>
    <fill>
      <patternFill patternType="solid">
        <fgColor theme="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4.9989318521683403E-2"/>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8">
    <xf numFmtId="0" fontId="0" fillId="0" borderId="0" xfId="0"/>
    <xf numFmtId="0" fontId="3" fillId="2" borderId="0" xfId="0" applyFont="1" applyFill="1" applyAlignment="1">
      <alignment horizontal="center" vertical="center" wrapText="1"/>
    </xf>
    <xf numFmtId="164" fontId="4" fillId="0" borderId="0" xfId="0" applyNumberFormat="1" applyFont="1" applyAlignment="1">
      <alignment horizontal="center" wrapText="1"/>
    </xf>
    <xf numFmtId="0" fontId="4" fillId="0" borderId="0" xfId="0" applyFont="1" applyAlignment="1">
      <alignment horizontal="center" wrapText="1"/>
    </xf>
    <xf numFmtId="9" fontId="4" fillId="0" borderId="0" xfId="0" applyNumberFormat="1" applyFont="1" applyAlignment="1">
      <alignment horizontal="center" wrapText="1"/>
    </xf>
    <xf numFmtId="2" fontId="0" fillId="0" borderId="0" xfId="0" applyNumberFormat="1"/>
    <xf numFmtId="0" fontId="5" fillId="0" borderId="0" xfId="0" applyFont="1"/>
    <xf numFmtId="0" fontId="1" fillId="0" borderId="0" xfId="0" applyFont="1"/>
    <xf numFmtId="0" fontId="2" fillId="4" borderId="1" xfId="0" applyFont="1" applyFill="1" applyBorder="1"/>
    <xf numFmtId="0" fontId="6" fillId="0" borderId="0" xfId="0" applyFont="1"/>
    <xf numFmtId="0" fontId="2" fillId="5" borderId="1" xfId="0" applyFont="1" applyFill="1" applyBorder="1"/>
    <xf numFmtId="0" fontId="0" fillId="0" borderId="3" xfId="0" applyBorder="1" applyAlignment="1">
      <alignment horizontal="left"/>
    </xf>
    <xf numFmtId="0" fontId="0" fillId="0" borderId="3" xfId="0" applyBorder="1"/>
    <xf numFmtId="0" fontId="7" fillId="0" borderId="0" xfId="0" applyFont="1"/>
    <xf numFmtId="0" fontId="0" fillId="0" borderId="4" xfId="0" applyBorder="1" applyAlignment="1">
      <alignment horizontal="left"/>
    </xf>
    <xf numFmtId="0" fontId="0" fillId="0" borderId="5" xfId="0" applyBorder="1" applyAlignment="1">
      <alignment horizontal="left"/>
    </xf>
    <xf numFmtId="0" fontId="0" fillId="0" borderId="5" xfId="0" applyBorder="1"/>
    <xf numFmtId="0" fontId="0" fillId="0" borderId="6" xfId="0" applyBorder="1" applyAlignment="1">
      <alignment horizontal="left"/>
    </xf>
    <xf numFmtId="0" fontId="0" fillId="0" borderId="1" xfId="0" applyBorder="1" applyAlignment="1">
      <alignment horizontal="left"/>
    </xf>
    <xf numFmtId="0" fontId="0" fillId="0" borderId="6" xfId="0" applyBorder="1"/>
    <xf numFmtId="0" fontId="6" fillId="0" borderId="2" xfId="0" applyFont="1" applyBorder="1"/>
    <xf numFmtId="0" fontId="0" fillId="0" borderId="7" xfId="0" applyBorder="1"/>
    <xf numFmtId="0" fontId="6" fillId="0" borderId="8" xfId="0" applyFont="1" applyBorder="1"/>
    <xf numFmtId="0" fontId="0" fillId="0" borderId="9" xfId="0" applyBorder="1"/>
    <xf numFmtId="0" fontId="9" fillId="0" borderId="0" xfId="0" applyFont="1"/>
    <xf numFmtId="0" fontId="0" fillId="6" borderId="1" xfId="0" applyFill="1" applyBorder="1"/>
    <xf numFmtId="0" fontId="6" fillId="0" borderId="10" xfId="0" applyFont="1" applyBorder="1"/>
    <xf numFmtId="0" fontId="0" fillId="0" borderId="11" xfId="0" applyBorder="1"/>
    <xf numFmtId="0" fontId="0" fillId="0" borderId="12" xfId="0" applyBorder="1"/>
    <xf numFmtId="164" fontId="0" fillId="0" borderId="4" xfId="0" applyNumberFormat="1" applyBorder="1" applyAlignment="1">
      <alignment horizontal="left"/>
    </xf>
    <xf numFmtId="0" fontId="7" fillId="0" borderId="10" xfId="0" applyFont="1" applyBorder="1"/>
    <xf numFmtId="9" fontId="0" fillId="0" borderId="3" xfId="0" applyNumberFormat="1" applyBorder="1"/>
    <xf numFmtId="9" fontId="0" fillId="0" borderId="5" xfId="0" applyNumberFormat="1" applyBorder="1"/>
    <xf numFmtId="9" fontId="0" fillId="0" borderId="6" xfId="0" applyNumberFormat="1" applyBorder="1"/>
    <xf numFmtId="164" fontId="0" fillId="0" borderId="1" xfId="0" applyNumberFormat="1" applyBorder="1" applyAlignment="1">
      <alignment horizontal="left"/>
    </xf>
    <xf numFmtId="0" fontId="0" fillId="0" borderId="2" xfId="0" pivotButton="1" applyBorder="1"/>
    <xf numFmtId="0" fontId="0" fillId="3" borderId="1" xfId="0" pivotButton="1" applyFill="1" applyBorder="1"/>
    <xf numFmtId="0" fontId="2" fillId="3" borderId="2" xfId="0" pivotButton="1" applyFont="1" applyFill="1" applyBorder="1"/>
    <xf numFmtId="0" fontId="2" fillId="3" borderId="1" xfId="0" pivotButton="1" applyFont="1" applyFill="1" applyBorder="1"/>
    <xf numFmtId="0" fontId="0" fillId="0" borderId="0" xfId="0" applyAlignment="1">
      <alignment horizontal="left"/>
    </xf>
    <xf numFmtId="164" fontId="0" fillId="0" borderId="0" xfId="0" applyNumberFormat="1" applyAlignment="1">
      <alignment horizontal="left"/>
    </xf>
    <xf numFmtId="9" fontId="0" fillId="0" borderId="0" xfId="0" applyNumberFormat="1"/>
    <xf numFmtId="165" fontId="0" fillId="0" borderId="0" xfId="0" applyNumberFormat="1"/>
    <xf numFmtId="0" fontId="0" fillId="0" borderId="0" xfId="0" pivotButton="1"/>
    <xf numFmtId="0" fontId="0" fillId="0" borderId="0" xfId="0" applyNumberFormat="1"/>
    <xf numFmtId="0" fontId="0" fillId="7" borderId="0" xfId="0" applyFill="1"/>
    <xf numFmtId="0" fontId="0" fillId="8" borderId="13" xfId="0" applyFill="1" applyBorder="1"/>
    <xf numFmtId="0" fontId="0" fillId="8" borderId="14" xfId="0" applyFill="1" applyBorder="1"/>
    <xf numFmtId="0" fontId="0" fillId="8" borderId="15" xfId="0" applyFill="1" applyBorder="1"/>
    <xf numFmtId="0" fontId="0" fillId="8" borderId="16" xfId="0" applyFill="1" applyBorder="1"/>
    <xf numFmtId="0" fontId="0" fillId="8" borderId="0" xfId="0" applyFill="1"/>
    <xf numFmtId="0" fontId="0" fillId="8" borderId="17" xfId="0" applyFill="1" applyBorder="1"/>
    <xf numFmtId="0" fontId="0" fillId="8" borderId="18" xfId="0" applyFill="1" applyBorder="1"/>
    <xf numFmtId="0" fontId="0" fillId="8" borderId="19" xfId="0" applyFill="1" applyBorder="1"/>
    <xf numFmtId="0" fontId="0" fillId="8" borderId="20" xfId="0" applyFill="1" applyBorder="1"/>
    <xf numFmtId="0" fontId="0" fillId="7" borderId="13"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0" fontId="10" fillId="9" borderId="10" xfId="0" applyFont="1" applyFill="1" applyBorder="1" applyAlignment="1">
      <alignment horizontal="center"/>
    </xf>
    <xf numFmtId="0" fontId="10" fillId="9" borderId="11" xfId="0" applyFont="1" applyFill="1" applyBorder="1" applyAlignment="1">
      <alignment horizontal="center"/>
    </xf>
    <xf numFmtId="0" fontId="10" fillId="9" borderId="12" xfId="0" applyFont="1" applyFill="1" applyBorder="1" applyAlignment="1">
      <alignment horizontal="center"/>
    </xf>
    <xf numFmtId="0" fontId="0" fillId="7" borderId="0" xfId="0" applyFill="1" applyBorder="1"/>
    <xf numFmtId="0" fontId="11" fillId="7" borderId="0" xfId="0" applyFont="1" applyFill="1" applyBorder="1"/>
  </cellXfs>
  <cellStyles count="1">
    <cellStyle name="Normal" xfId="0" builtinId="0"/>
  </cellStyles>
  <dxfs count="70">
    <dxf>
      <numFmt numFmtId="2" formatCode="0.0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14009]dd/mm/yyyy;@"/>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1"/>
        </patternFill>
      </fill>
      <alignment horizontal="center" vertical="center" textRotation="0" wrapText="1" indent="0" justifyLastLine="0" shrinkToFit="0" readingOrder="0"/>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patternFill>
      </fill>
    </dxf>
    <dxf>
      <font>
        <color theme="0"/>
      </font>
    </dxf>
    <dxf>
      <font>
        <color theme="0"/>
      </font>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patternType="solid">
          <fgColor indexed="64"/>
          <bgColor theme="9"/>
        </patternFill>
      </fill>
    </dxf>
    <dxf>
      <font>
        <color theme="0"/>
      </font>
      <fill>
        <patternFill>
          <fgColor theme="4"/>
        </patternFill>
      </fill>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fgColor theme="4"/>
        </patternFill>
      </fill>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patternFill>
      </fill>
    </dxf>
    <dxf>
      <font>
        <color theme="0"/>
      </font>
    </dxf>
    <dxf>
      <fill>
        <patternFill patternType="solid">
          <bgColor theme="9"/>
        </patternFill>
      </fill>
    </dxf>
    <dxf>
      <fill>
        <patternFill patternType="solid">
          <bgColor theme="5"/>
        </patternFill>
      </fill>
    </dxf>
    <dxf>
      <fill>
        <patternFill>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font>
      <fill>
        <patternFill>
          <fgColor theme="4"/>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Laptop</c:v>
              </c:pt>
              <c:pt idx="1">
                <c:v>Tablet</c:v>
              </c:pt>
              <c:pt idx="2">
                <c:v>Phone</c:v>
              </c:pt>
              <c:pt idx="3">
                <c:v>Monitor</c:v>
              </c:pt>
            </c:strLit>
          </c:cat>
          <c:val>
            <c:numLit>
              <c:formatCode>General</c:formatCode>
              <c:ptCount val="4"/>
              <c:pt idx="0">
                <c:v>25000</c:v>
              </c:pt>
              <c:pt idx="1">
                <c:v>26300</c:v>
              </c:pt>
              <c:pt idx="2">
                <c:v>36300</c:v>
              </c:pt>
              <c:pt idx="3">
                <c:v>36800</c:v>
              </c:pt>
            </c:numLit>
          </c:val>
          <c:extLst>
            <c:ext xmlns:c16="http://schemas.microsoft.com/office/drawing/2014/chart" uri="{C3380CC4-5D6E-409C-BE32-E72D297353CC}">
              <c16:uniqueId val="{00000000-5C31-49CA-A913-371EE567C577}"/>
            </c:ext>
          </c:extLst>
        </c:ser>
        <c:dLbls>
          <c:showLegendKey val="0"/>
          <c:showVal val="0"/>
          <c:showCatName val="0"/>
          <c:showSerName val="0"/>
          <c:showPercent val="0"/>
          <c:showBubbleSize val="0"/>
        </c:dLbls>
        <c:gapWidth val="100"/>
        <c:overlap val="-24"/>
        <c:axId val="1950407744"/>
        <c:axId val="1950409664"/>
      </c:barChart>
      <c:catAx>
        <c:axId val="1950407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9664"/>
        <c:crosses val="autoZero"/>
        <c:auto val="1"/>
        <c:lblAlgn val="ctr"/>
        <c:lblOffset val="100"/>
        <c:noMultiLvlLbl val="0"/>
      </c:catAx>
      <c:valAx>
        <c:axId val="195040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effectLst/>
              </a:rPr>
              <a:t>Revenue by Region</a:t>
            </a:r>
            <a:r>
              <a:rPr lang="en-IN" sz="1800" b="0" i="0" u="none" strike="noStrike" baseline="0"/>
              <a:t> </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Pivot!$E$7:$E$11</c:f>
              <c:strCache>
                <c:ptCount val="4"/>
                <c:pt idx="0">
                  <c:v>East</c:v>
                </c:pt>
                <c:pt idx="1">
                  <c:v>North</c:v>
                </c:pt>
                <c:pt idx="2">
                  <c:v>South</c:v>
                </c:pt>
                <c:pt idx="3">
                  <c:v>West</c:v>
                </c:pt>
              </c:strCache>
            </c:strRef>
          </c:cat>
          <c:val>
            <c:numRef>
              <c:f>Pivot!$F$7:$F$11</c:f>
              <c:numCache>
                <c:formatCode>General</c:formatCode>
                <c:ptCount val="4"/>
                <c:pt idx="0">
                  <c:v>31700</c:v>
                </c:pt>
                <c:pt idx="1">
                  <c:v>34800</c:v>
                </c:pt>
                <c:pt idx="2">
                  <c:v>28300</c:v>
                </c:pt>
                <c:pt idx="3">
                  <c:v>29600</c:v>
                </c:pt>
              </c:numCache>
            </c:numRef>
          </c:val>
          <c:extLst>
            <c:ext xmlns:c16="http://schemas.microsoft.com/office/drawing/2014/chart" uri="{C3380CC4-5D6E-409C-BE32-E72D297353CC}">
              <c16:uniqueId val="{00000000-CCFC-4023-BD78-D55B798AF9F3}"/>
            </c:ext>
          </c:extLst>
        </c:ser>
        <c:dLbls>
          <c:dLblPos val="outEnd"/>
          <c:showLegendKey val="0"/>
          <c:showVal val="1"/>
          <c:showCatName val="0"/>
          <c:showSerName val="0"/>
          <c:showPercent val="0"/>
          <c:showBubbleSize val="0"/>
        </c:dLbls>
        <c:gapWidth val="219"/>
        <c:overlap val="-27"/>
        <c:axId val="1969814624"/>
        <c:axId val="1969836224"/>
      </c:barChart>
      <c:catAx>
        <c:axId val="196981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36224"/>
        <c:crosses val="autoZero"/>
        <c:auto val="1"/>
        <c:lblAlgn val="ctr"/>
        <c:lblOffset val="100"/>
        <c:noMultiLvlLbl val="0"/>
      </c:catAx>
      <c:valAx>
        <c:axId val="196983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814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effectLst/>
              </a:rPr>
              <a:t>Revenue by Salesperson</a:t>
            </a:r>
            <a:r>
              <a:rPr lang="en-IN" sz="1800" b="0" i="0" u="none" strike="noStrike" baseline="0"/>
              <a:t> </a:t>
            </a:r>
            <a:endParaRPr lang="en-US" sz="1800"/>
          </a:p>
        </c:rich>
      </c:tx>
      <c:layout>
        <c:manualLayout>
          <c:xMode val="edge"/>
          <c:yMode val="edge"/>
          <c:x val="0.36730691201832888"/>
          <c:y val="2.87386594810798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Pivot!$E$15:$E$19</c:f>
              <c:strCache>
                <c:ptCount val="4"/>
                <c:pt idx="0">
                  <c:v>Emily Clark</c:v>
                </c:pt>
                <c:pt idx="1">
                  <c:v>Jane Smith</c:v>
                </c:pt>
                <c:pt idx="2">
                  <c:v>John Doe</c:v>
                </c:pt>
                <c:pt idx="3">
                  <c:v>Adam Lee</c:v>
                </c:pt>
              </c:strCache>
            </c:strRef>
          </c:cat>
          <c:val>
            <c:numRef>
              <c:f>Pivot!$F$15:$F$19</c:f>
              <c:numCache>
                <c:formatCode>General</c:formatCode>
                <c:ptCount val="4"/>
                <c:pt idx="0">
                  <c:v>28300</c:v>
                </c:pt>
                <c:pt idx="1">
                  <c:v>29600</c:v>
                </c:pt>
                <c:pt idx="2">
                  <c:v>31700</c:v>
                </c:pt>
                <c:pt idx="3">
                  <c:v>34800</c:v>
                </c:pt>
              </c:numCache>
            </c:numRef>
          </c:val>
          <c:extLst>
            <c:ext xmlns:c16="http://schemas.microsoft.com/office/drawing/2014/chart" uri="{C3380CC4-5D6E-409C-BE32-E72D297353CC}">
              <c16:uniqueId val="{00000000-EE5D-41C2-94DA-60451DFC7954}"/>
            </c:ext>
          </c:extLst>
        </c:ser>
        <c:dLbls>
          <c:dLblPos val="outEnd"/>
          <c:showLegendKey val="0"/>
          <c:showVal val="1"/>
          <c:showCatName val="0"/>
          <c:showSerName val="0"/>
          <c:showPercent val="0"/>
          <c:showBubbleSize val="0"/>
        </c:dLbls>
        <c:gapWidth val="219"/>
        <c:axId val="1565937808"/>
        <c:axId val="1973856368"/>
      </c:barChart>
      <c:catAx>
        <c:axId val="156593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56368"/>
        <c:crosses val="autoZero"/>
        <c:auto val="1"/>
        <c:lblAlgn val="ctr"/>
        <c:lblOffset val="100"/>
        <c:noMultiLvlLbl val="0"/>
      </c:catAx>
      <c:valAx>
        <c:axId val="197385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93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Units Sold by Product</a:t>
            </a:r>
            <a:r>
              <a:rPr lang="en-IN" sz="2000" b="0" i="0" u="none" strike="noStrike" baseline="0"/>
              <a:t> </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Pivot!$E$23:$E$27</c:f>
              <c:strCache>
                <c:ptCount val="4"/>
                <c:pt idx="0">
                  <c:v>Laptop</c:v>
                </c:pt>
                <c:pt idx="1">
                  <c:v>Monitor</c:v>
                </c:pt>
                <c:pt idx="2">
                  <c:v>Phone</c:v>
                </c:pt>
                <c:pt idx="3">
                  <c:v>Tablet</c:v>
                </c:pt>
              </c:strCache>
            </c:strRef>
          </c:cat>
          <c:val>
            <c:numRef>
              <c:f>Pivot!$F$23:$F$27</c:f>
              <c:numCache>
                <c:formatCode>General</c:formatCode>
                <c:ptCount val="4"/>
                <c:pt idx="0">
                  <c:v>36</c:v>
                </c:pt>
                <c:pt idx="1">
                  <c:v>53</c:v>
                </c:pt>
                <c:pt idx="2">
                  <c:v>50</c:v>
                </c:pt>
                <c:pt idx="3">
                  <c:v>43</c:v>
                </c:pt>
              </c:numCache>
            </c:numRef>
          </c:val>
          <c:extLst>
            <c:ext xmlns:c16="http://schemas.microsoft.com/office/drawing/2014/chart" uri="{C3380CC4-5D6E-409C-BE32-E72D297353CC}">
              <c16:uniqueId val="{00000000-90CF-4CC9-9EE6-9C35FA349478}"/>
            </c:ext>
          </c:extLst>
        </c:ser>
        <c:dLbls>
          <c:dLblPos val="outEnd"/>
          <c:showLegendKey val="0"/>
          <c:showVal val="1"/>
          <c:showCatName val="0"/>
          <c:showSerName val="0"/>
          <c:showPercent val="0"/>
          <c:showBubbleSize val="0"/>
        </c:dLbls>
        <c:gapWidth val="219"/>
        <c:axId val="1973852048"/>
        <c:axId val="1973847728"/>
      </c:barChart>
      <c:catAx>
        <c:axId val="19738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47728"/>
        <c:crosses val="autoZero"/>
        <c:auto val="1"/>
        <c:lblAlgn val="ctr"/>
        <c:lblOffset val="100"/>
        <c:noMultiLvlLbl val="0"/>
      </c:catAx>
      <c:valAx>
        <c:axId val="197384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85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Monthly Revenue Trend</a:t>
            </a:r>
            <a:r>
              <a:rPr lang="en-IN" sz="1800" b="1" i="0" u="none" strike="noStrike"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1"/>
                </a:solidFill>
              </a:ln>
              <a:effectLst/>
            </c:spPr>
            <c:trendlineType val="linear"/>
            <c:dispRSqr val="0"/>
            <c:dispEq val="0"/>
          </c:trendline>
          <c:cat>
            <c:strRef>
              <c:f>Pivot!$E$31:$E$51</c:f>
              <c:strCache>
                <c:ptCount val="20"/>
                <c:pt idx="0">
                  <c:v>09-01-2024</c:v>
                </c:pt>
                <c:pt idx="1">
                  <c:v>04-01-2024</c:v>
                </c:pt>
                <c:pt idx="2">
                  <c:v>11-01-2024</c:v>
                </c:pt>
                <c:pt idx="3">
                  <c:v>03-01-2024</c:v>
                </c:pt>
                <c:pt idx="4">
                  <c:v>20-01-2024</c:v>
                </c:pt>
                <c:pt idx="5">
                  <c:v>14-01-2024</c:v>
                </c:pt>
                <c:pt idx="6">
                  <c:v>06-01-2024</c:v>
                </c:pt>
                <c:pt idx="7">
                  <c:v>01-01-2024</c:v>
                </c:pt>
                <c:pt idx="8">
                  <c:v>18-01-2024</c:v>
                </c:pt>
                <c:pt idx="9">
                  <c:v>16-01-2024</c:v>
                </c:pt>
                <c:pt idx="10">
                  <c:v>08-01-2024</c:v>
                </c:pt>
                <c:pt idx="11">
                  <c:v>19-01-2024</c:v>
                </c:pt>
                <c:pt idx="12">
                  <c:v>02-01-2024</c:v>
                </c:pt>
                <c:pt idx="13">
                  <c:v>17-01-2024</c:v>
                </c:pt>
                <c:pt idx="14">
                  <c:v>10-01-2024</c:v>
                </c:pt>
                <c:pt idx="15">
                  <c:v>13-01-2024</c:v>
                </c:pt>
                <c:pt idx="16">
                  <c:v>05-01-2024</c:v>
                </c:pt>
                <c:pt idx="17">
                  <c:v>12-01-2024</c:v>
                </c:pt>
                <c:pt idx="18">
                  <c:v>15-01-2024</c:v>
                </c:pt>
                <c:pt idx="19">
                  <c:v>07-01-2024</c:v>
                </c:pt>
              </c:strCache>
            </c:strRef>
          </c:cat>
          <c:val>
            <c:numRef>
              <c:f>Pivot!$F$31:$F$51</c:f>
              <c:numCache>
                <c:formatCode>General</c:formatCode>
                <c:ptCount val="20"/>
                <c:pt idx="0">
                  <c:v>2800</c:v>
                </c:pt>
                <c:pt idx="1">
                  <c:v>3000</c:v>
                </c:pt>
                <c:pt idx="2">
                  <c:v>3600</c:v>
                </c:pt>
                <c:pt idx="3">
                  <c:v>4000</c:v>
                </c:pt>
                <c:pt idx="4">
                  <c:v>4300</c:v>
                </c:pt>
                <c:pt idx="5">
                  <c:v>4800</c:v>
                </c:pt>
                <c:pt idx="6">
                  <c:v>4900</c:v>
                </c:pt>
                <c:pt idx="7">
                  <c:v>5000</c:v>
                </c:pt>
                <c:pt idx="8">
                  <c:v>5200</c:v>
                </c:pt>
                <c:pt idx="9">
                  <c:v>5700</c:v>
                </c:pt>
                <c:pt idx="10">
                  <c:v>6200</c:v>
                </c:pt>
                <c:pt idx="11">
                  <c:v>6800</c:v>
                </c:pt>
                <c:pt idx="12">
                  <c:v>7000</c:v>
                </c:pt>
                <c:pt idx="13">
                  <c:v>7500</c:v>
                </c:pt>
                <c:pt idx="14">
                  <c:v>7700</c:v>
                </c:pt>
                <c:pt idx="15">
                  <c:v>8000</c:v>
                </c:pt>
                <c:pt idx="16">
                  <c:v>8400</c:v>
                </c:pt>
                <c:pt idx="17">
                  <c:v>9100</c:v>
                </c:pt>
                <c:pt idx="18">
                  <c:v>9900</c:v>
                </c:pt>
                <c:pt idx="19">
                  <c:v>10500</c:v>
                </c:pt>
              </c:numCache>
            </c:numRef>
          </c:val>
          <c:smooth val="0"/>
          <c:extLst>
            <c:ext xmlns:c16="http://schemas.microsoft.com/office/drawing/2014/chart" uri="{C3380CC4-5D6E-409C-BE32-E72D297353CC}">
              <c16:uniqueId val="{00000000-D0DE-43DB-8FB1-A36B6EE3F9AC}"/>
            </c:ext>
          </c:extLst>
        </c:ser>
        <c:dLbls>
          <c:dLblPos val="ctr"/>
          <c:showLegendKey val="0"/>
          <c:showVal val="1"/>
          <c:showCatName val="0"/>
          <c:showSerName val="0"/>
          <c:showPercent val="0"/>
          <c:showBubbleSize val="0"/>
        </c:dLbls>
        <c:marker val="1"/>
        <c:smooth val="0"/>
        <c:axId val="1973853968"/>
        <c:axId val="1973854448"/>
      </c:lineChart>
      <c:catAx>
        <c:axId val="19738539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3854448"/>
        <c:crosses val="autoZero"/>
        <c:auto val="1"/>
        <c:lblAlgn val="ctr"/>
        <c:lblOffset val="100"/>
        <c:noMultiLvlLbl val="0"/>
      </c:catAx>
      <c:valAx>
        <c:axId val="19738544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385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effectLst/>
              </a:rPr>
              <a:t>Profit by Region</a:t>
            </a:r>
            <a:r>
              <a:rPr lang="en-IN" sz="1800" b="0" i="0" u="none" strike="noStrike" baseline="0"/>
              <a:t> </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Pivot!$E$55:$E$59</c:f>
              <c:strCache>
                <c:ptCount val="4"/>
                <c:pt idx="0">
                  <c:v>East</c:v>
                </c:pt>
                <c:pt idx="1">
                  <c:v>North</c:v>
                </c:pt>
                <c:pt idx="2">
                  <c:v>South</c:v>
                </c:pt>
                <c:pt idx="3">
                  <c:v>West</c:v>
                </c:pt>
              </c:strCache>
            </c:strRef>
          </c:cat>
          <c:val>
            <c:numRef>
              <c:f>Pivot!$F$55:$F$59</c:f>
              <c:numCache>
                <c:formatCode>General</c:formatCode>
                <c:ptCount val="4"/>
                <c:pt idx="0">
                  <c:v>6100</c:v>
                </c:pt>
                <c:pt idx="1">
                  <c:v>7100</c:v>
                </c:pt>
                <c:pt idx="2">
                  <c:v>5650</c:v>
                </c:pt>
                <c:pt idx="3">
                  <c:v>5900</c:v>
                </c:pt>
              </c:numCache>
            </c:numRef>
          </c:val>
          <c:extLst>
            <c:ext xmlns:c16="http://schemas.microsoft.com/office/drawing/2014/chart" uri="{C3380CC4-5D6E-409C-BE32-E72D297353CC}">
              <c16:uniqueId val="{00000000-1EAD-4953-9998-E7D191AEA0A9}"/>
            </c:ext>
          </c:extLst>
        </c:ser>
        <c:dLbls>
          <c:dLblPos val="outEnd"/>
          <c:showLegendKey val="0"/>
          <c:showVal val="1"/>
          <c:showCatName val="0"/>
          <c:showSerName val="0"/>
          <c:showPercent val="0"/>
          <c:showBubbleSize val="0"/>
        </c:dLbls>
        <c:gapWidth val="219"/>
        <c:overlap val="-27"/>
        <c:axId val="1953155728"/>
        <c:axId val="1953157168"/>
      </c:barChart>
      <c:catAx>
        <c:axId val="195315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57168"/>
        <c:crosses val="autoZero"/>
        <c:auto val="1"/>
        <c:lblAlgn val="ctr"/>
        <c:lblOffset val="100"/>
        <c:noMultiLvlLbl val="0"/>
      </c:catAx>
      <c:valAx>
        <c:axId val="1953157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5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Data visualization work.xlsx]Pivot!PivotTable9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effectLst/>
              </a:rPr>
              <a:t>Discount Analysis</a:t>
            </a:r>
            <a:r>
              <a:rPr lang="en-IN" sz="2000" b="0" i="0" u="none" strike="noStrike" baseline="0"/>
              <a:t> </a:t>
            </a:r>
            <a:endParaRPr lang="en-IN"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Pivot!$F$62</c:f>
              <c:strCache>
                <c:ptCount val="1"/>
                <c:pt idx="0">
                  <c:v>Average of Discount</c:v>
                </c:pt>
              </c:strCache>
            </c:strRef>
          </c:tx>
          <c:spPr>
            <a:solidFill>
              <a:schemeClr val="accent1"/>
            </a:solidFill>
            <a:ln>
              <a:noFill/>
            </a:ln>
            <a:effectLst/>
          </c:spPr>
          <c:invertIfNegative val="0"/>
          <c:cat>
            <c:strRef>
              <c:f>Pivot!$E$63:$E$67</c:f>
              <c:strCache>
                <c:ptCount val="4"/>
                <c:pt idx="0">
                  <c:v>East</c:v>
                </c:pt>
                <c:pt idx="1">
                  <c:v>North</c:v>
                </c:pt>
                <c:pt idx="2">
                  <c:v>South</c:v>
                </c:pt>
                <c:pt idx="3">
                  <c:v>West</c:v>
                </c:pt>
              </c:strCache>
            </c:strRef>
          </c:cat>
          <c:val>
            <c:numRef>
              <c:f>Pivot!$F$63:$F$67</c:f>
              <c:numCache>
                <c:formatCode>0%</c:formatCode>
                <c:ptCount val="4"/>
                <c:pt idx="0">
                  <c:v>8.4000000000000005E-2</c:v>
                </c:pt>
                <c:pt idx="1">
                  <c:v>5.2000000000000005E-2</c:v>
                </c:pt>
                <c:pt idx="2">
                  <c:v>9.1999999999999998E-2</c:v>
                </c:pt>
                <c:pt idx="3">
                  <c:v>5.6000000000000008E-2</c:v>
                </c:pt>
              </c:numCache>
            </c:numRef>
          </c:val>
          <c:extLst>
            <c:ext xmlns:c16="http://schemas.microsoft.com/office/drawing/2014/chart" uri="{C3380CC4-5D6E-409C-BE32-E72D297353CC}">
              <c16:uniqueId val="{00000000-DC0E-4783-A4FB-1F50560BED80}"/>
            </c:ext>
          </c:extLst>
        </c:ser>
        <c:dLbls>
          <c:showLegendKey val="0"/>
          <c:showVal val="0"/>
          <c:showCatName val="0"/>
          <c:showSerName val="0"/>
          <c:showPercent val="0"/>
          <c:showBubbleSize val="0"/>
        </c:dLbls>
        <c:gapWidth val="219"/>
        <c:overlap val="-27"/>
        <c:axId val="1953167728"/>
        <c:axId val="1953168208"/>
      </c:barChart>
      <c:lineChart>
        <c:grouping val="standard"/>
        <c:varyColors val="0"/>
        <c:ser>
          <c:idx val="1"/>
          <c:order val="1"/>
          <c:tx>
            <c:strRef>
              <c:f>Pivot!$G$62</c:f>
              <c:strCache>
                <c:ptCount val="1"/>
                <c:pt idx="0">
                  <c:v>Total Discount</c:v>
                </c:pt>
              </c:strCache>
            </c:strRef>
          </c:tx>
          <c:spPr>
            <a:ln w="28575" cap="rnd">
              <a:solidFill>
                <a:schemeClr val="accent2"/>
              </a:solidFill>
              <a:round/>
            </a:ln>
            <a:effectLst/>
          </c:spPr>
          <c:marker>
            <c:symbol val="none"/>
          </c:marker>
          <c:cat>
            <c:strRef>
              <c:f>Pivot!$E$63:$E$67</c:f>
              <c:strCache>
                <c:ptCount val="4"/>
                <c:pt idx="0">
                  <c:v>East</c:v>
                </c:pt>
                <c:pt idx="1">
                  <c:v>North</c:v>
                </c:pt>
                <c:pt idx="2">
                  <c:v>South</c:v>
                </c:pt>
                <c:pt idx="3">
                  <c:v>West</c:v>
                </c:pt>
              </c:strCache>
            </c:strRef>
          </c:cat>
          <c:val>
            <c:numRef>
              <c:f>Pivot!$G$63:$G$67</c:f>
              <c:numCache>
                <c:formatCode>\7\%</c:formatCode>
                <c:ptCount val="4"/>
                <c:pt idx="0">
                  <c:v>1.1830985915492953</c:v>
                </c:pt>
                <c:pt idx="1">
                  <c:v>0.73239436619718279</c:v>
                </c:pt>
                <c:pt idx="2">
                  <c:v>1.2957746478873233</c:v>
                </c:pt>
                <c:pt idx="3">
                  <c:v>0.78873239436619691</c:v>
                </c:pt>
              </c:numCache>
            </c:numRef>
          </c:val>
          <c:smooth val="0"/>
          <c:extLst>
            <c:ext xmlns:c16="http://schemas.microsoft.com/office/drawing/2014/chart" uri="{C3380CC4-5D6E-409C-BE32-E72D297353CC}">
              <c16:uniqueId val="{00000001-DC0E-4783-A4FB-1F50560BED80}"/>
            </c:ext>
          </c:extLst>
        </c:ser>
        <c:dLbls>
          <c:showLegendKey val="0"/>
          <c:showVal val="0"/>
          <c:showCatName val="0"/>
          <c:showSerName val="0"/>
          <c:showPercent val="0"/>
          <c:showBubbleSize val="0"/>
        </c:dLbls>
        <c:marker val="1"/>
        <c:smooth val="0"/>
        <c:axId val="1953167728"/>
        <c:axId val="1953168208"/>
      </c:lineChart>
      <c:catAx>
        <c:axId val="195316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68208"/>
        <c:crosses val="autoZero"/>
        <c:auto val="1"/>
        <c:lblAlgn val="ctr"/>
        <c:lblOffset val="100"/>
        <c:noMultiLvlLbl val="0"/>
      </c:catAx>
      <c:valAx>
        <c:axId val="1953168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16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14288</xdr:colOff>
      <xdr:row>17</xdr:row>
      <xdr:rowOff>23811</xdr:rowOff>
    </xdr:from>
    <xdr:to>
      <xdr:col>12</xdr:col>
      <xdr:colOff>879563</xdr:colOff>
      <xdr:row>24</xdr:row>
      <xdr:rowOff>13811</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BB4EDFAB-0F3B-4B6A-B234-21E725DF382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768217" y="3244168"/>
              <a:ext cx="1696822" cy="1290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xdr:colOff>
      <xdr:row>29</xdr:row>
      <xdr:rowOff>161925</xdr:rowOff>
    </xdr:from>
    <xdr:to>
      <xdr:col>17</xdr:col>
      <xdr:colOff>257174</xdr:colOff>
      <xdr:row>36</xdr:row>
      <xdr:rowOff>176212</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96334489-A968-4756-BAC0-D5798EE9FA2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599888" y="5635020"/>
              <a:ext cx="2689905" cy="13447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140493</xdr:colOff>
      <xdr:row>4</xdr:row>
      <xdr:rowOff>121443</xdr:rowOff>
    </xdr:from>
    <xdr:to>
      <xdr:col>29</xdr:col>
      <xdr:colOff>178593</xdr:colOff>
      <xdr:row>19</xdr:row>
      <xdr:rowOff>130968</xdr:rowOff>
    </xdr:to>
    <xdr:graphicFrame macro="">
      <xdr:nvGraphicFramePr>
        <xdr:cNvPr id="4" name="Chart 3">
          <a:extLst>
            <a:ext uri="{FF2B5EF4-FFF2-40B4-BE49-F238E27FC236}">
              <a16:creationId xmlns:a16="http://schemas.microsoft.com/office/drawing/2014/main" id="{5FDB124B-8CF1-4C25-BC90-14C69E44C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23813</xdr:colOff>
      <xdr:row>52</xdr:row>
      <xdr:rowOff>14287</xdr:rowOff>
    </xdr:from>
    <xdr:to>
      <xdr:col>26</xdr:col>
      <xdr:colOff>60713</xdr:colOff>
      <xdr:row>56</xdr:row>
      <xdr:rowOff>161925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145549B7-D8BB-4C87-AE1E-5A3ED304200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6685003" y="9826549"/>
              <a:ext cx="1851186" cy="918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391808</xdr:colOff>
      <xdr:row>25</xdr:row>
      <xdr:rowOff>-1</xdr:rowOff>
    </xdr:from>
    <xdr:to>
      <xdr:col>47</xdr:col>
      <xdr:colOff>310744</xdr:colOff>
      <xdr:row>70</xdr:row>
      <xdr:rowOff>54041</xdr:rowOff>
    </xdr:to>
    <xdr:pic>
      <xdr:nvPicPr>
        <xdr:cNvPr id="8" name="Picture 7">
          <a:extLst>
            <a:ext uri="{FF2B5EF4-FFF2-40B4-BE49-F238E27FC236}">
              <a16:creationId xmlns:a16="http://schemas.microsoft.com/office/drawing/2014/main" id="{90776D22-CC5E-535A-D888-529D16AF7441}"/>
            </a:ext>
          </a:extLst>
        </xdr:cNvPr>
        <xdr:cNvPicPr>
          <a:picLocks noChangeAspect="1"/>
        </xdr:cNvPicPr>
      </xdr:nvPicPr>
      <xdr:blipFill>
        <a:blip xmlns:r="http://schemas.openxmlformats.org/officeDocument/2006/relationships" r:embed="rId2"/>
        <a:stretch>
          <a:fillRect/>
        </a:stretch>
      </xdr:blipFill>
      <xdr:spPr>
        <a:xfrm>
          <a:off x="22589787" y="4823297"/>
          <a:ext cx="9038617" cy="86197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627635</xdr:colOff>
      <xdr:row>5</xdr:row>
      <xdr:rowOff>173825</xdr:rowOff>
    </xdr:from>
    <xdr:to>
      <xdr:col>34</xdr:col>
      <xdr:colOff>0</xdr:colOff>
      <xdr:row>21</xdr:row>
      <xdr:rowOff>176376</xdr:rowOff>
    </xdr:to>
    <xdr:grpSp>
      <xdr:nvGrpSpPr>
        <xdr:cNvPr id="2" name="Group 1">
          <a:extLst>
            <a:ext uri="{FF2B5EF4-FFF2-40B4-BE49-F238E27FC236}">
              <a16:creationId xmlns:a16="http://schemas.microsoft.com/office/drawing/2014/main" id="{40164448-BCDE-46A1-AAF1-CF419545C6CE}"/>
            </a:ext>
          </a:extLst>
        </xdr:cNvPr>
        <xdr:cNvGrpSpPr/>
      </xdr:nvGrpSpPr>
      <xdr:grpSpPr>
        <a:xfrm>
          <a:off x="10152635" y="1155189"/>
          <a:ext cx="11264183" cy="2773460"/>
          <a:chOff x="4530321" y="1083037"/>
          <a:chExt cx="9630756" cy="2801894"/>
        </a:xfrm>
      </xdr:grpSpPr>
      <xdr:grpSp>
        <xdr:nvGrpSpPr>
          <xdr:cNvPr id="3" name="Group 2">
            <a:extLst>
              <a:ext uri="{FF2B5EF4-FFF2-40B4-BE49-F238E27FC236}">
                <a16:creationId xmlns:a16="http://schemas.microsoft.com/office/drawing/2014/main" id="{12C3DA88-C00A-4B28-037A-3CAEE5F75CA7}"/>
              </a:ext>
            </a:extLst>
          </xdr:cNvPr>
          <xdr:cNvGrpSpPr/>
        </xdr:nvGrpSpPr>
        <xdr:grpSpPr>
          <a:xfrm>
            <a:off x="4536612" y="1083037"/>
            <a:ext cx="9624465" cy="1231969"/>
            <a:chOff x="4533900" y="1078707"/>
            <a:chExt cx="9596268" cy="1156505"/>
          </a:xfrm>
          <a:solidFill>
            <a:schemeClr val="bg2"/>
          </a:solidFill>
        </xdr:grpSpPr>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ADA0D75-B18B-DDB2-8957-35797104CC59}"/>
                    </a:ext>
                  </a:extLst>
                </xdr:cNvPr>
                <xdr:cNvGraphicFramePr/>
              </xdr:nvGraphicFramePr>
              <xdr:xfrm>
                <a:off x="4533900" y="1078707"/>
                <a:ext cx="2026258" cy="11565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59993" y="1155189"/>
                  <a:ext cx="2376886" cy="1219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Salesperson 1">
                  <a:extLst>
                    <a:ext uri="{FF2B5EF4-FFF2-40B4-BE49-F238E27FC236}">
                      <a16:creationId xmlns:a16="http://schemas.microsoft.com/office/drawing/2014/main" id="{BA5AEF60-2948-2E88-23D4-C6AFEC7E0A00}"/>
                    </a:ext>
                  </a:extLst>
                </xdr:cNvPr>
                <xdr:cNvGraphicFramePr/>
              </xdr:nvGraphicFramePr>
              <xdr:xfrm>
                <a:off x="8182304" y="1085851"/>
                <a:ext cx="2162860" cy="1149356"/>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14439724" y="1162722"/>
                  <a:ext cx="2537126" cy="1211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8065A77B-C0B5-FB17-6044-255FE3224CEC}"/>
                    </a:ext>
                  </a:extLst>
                </xdr:cNvPr>
                <xdr:cNvGraphicFramePr/>
              </xdr:nvGraphicFramePr>
              <xdr:xfrm>
                <a:off x="11967308" y="1087517"/>
                <a:ext cx="2162860" cy="1147695"/>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8879692" y="1164479"/>
                  <a:ext cx="2537126" cy="1210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8867858C-5DCA-F2D9-8BDB-1660DDEC2549}"/>
                  </a:ext>
                </a:extLst>
              </xdr:cNvPr>
              <xdr:cNvGraphicFramePr/>
            </xdr:nvGraphicFramePr>
            <xdr:xfrm>
              <a:off x="4530321" y="2519984"/>
              <a:ext cx="9605528" cy="1364947"/>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152635" y="2577554"/>
                <a:ext cx="11234676" cy="13510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oneCellAnchor>
    <xdr:from>
      <xdr:col>23</xdr:col>
      <xdr:colOff>1</xdr:colOff>
      <xdr:row>0</xdr:row>
      <xdr:rowOff>158718</xdr:rowOff>
    </xdr:from>
    <xdr:ext cx="2585356" cy="530658"/>
    <xdr:sp macro="" textlink="">
      <xdr:nvSpPr>
        <xdr:cNvPr id="21" name="TextBox 20">
          <a:extLst>
            <a:ext uri="{FF2B5EF4-FFF2-40B4-BE49-F238E27FC236}">
              <a16:creationId xmlns:a16="http://schemas.microsoft.com/office/drawing/2014/main" id="{A4CEF2DA-FBB4-4934-8400-9C7A5700D013}"/>
            </a:ext>
          </a:extLst>
        </xdr:cNvPr>
        <xdr:cNvSpPr txBox="1"/>
      </xdr:nvSpPr>
      <xdr:spPr>
        <a:xfrm>
          <a:off x="14439901" y="158718"/>
          <a:ext cx="258535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a:t>DASHBOARD</a:t>
          </a:r>
        </a:p>
      </xdr:txBody>
    </xdr:sp>
    <xdr:clientData/>
  </xdr:oneCellAnchor>
  <xdr:twoCellAnchor>
    <xdr:from>
      <xdr:col>11</xdr:col>
      <xdr:colOff>513950</xdr:colOff>
      <xdr:row>34</xdr:row>
      <xdr:rowOff>89925</xdr:rowOff>
    </xdr:from>
    <xdr:to>
      <xdr:col>20</xdr:col>
      <xdr:colOff>126482</xdr:colOff>
      <xdr:row>55</xdr:row>
      <xdr:rowOff>135577</xdr:rowOff>
    </xdr:to>
    <xdr:graphicFrame macro="">
      <xdr:nvGraphicFramePr>
        <xdr:cNvPr id="22" name="Chart 21">
          <a:extLst>
            <a:ext uri="{FF2B5EF4-FFF2-40B4-BE49-F238E27FC236}">
              <a16:creationId xmlns:a16="http://schemas.microsoft.com/office/drawing/2014/main" id="{2BE3313D-7633-460C-AED4-EA2A77D42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522941</xdr:colOff>
      <xdr:row>34</xdr:row>
      <xdr:rowOff>93383</xdr:rowOff>
    </xdr:from>
    <xdr:to>
      <xdr:col>30</xdr:col>
      <xdr:colOff>519206</xdr:colOff>
      <xdr:row>55</xdr:row>
      <xdr:rowOff>98475</xdr:rowOff>
    </xdr:to>
    <xdr:graphicFrame macro="">
      <xdr:nvGraphicFramePr>
        <xdr:cNvPr id="23" name="Chart 22">
          <a:extLst>
            <a:ext uri="{FF2B5EF4-FFF2-40B4-BE49-F238E27FC236}">
              <a16:creationId xmlns:a16="http://schemas.microsoft.com/office/drawing/2014/main" id="{E7564155-0F13-4BAD-9EF1-833C8F564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298822</xdr:colOff>
      <xdr:row>34</xdr:row>
      <xdr:rowOff>93382</xdr:rowOff>
    </xdr:from>
    <xdr:to>
      <xdr:col>39</xdr:col>
      <xdr:colOff>429557</xdr:colOff>
      <xdr:row>55</xdr:row>
      <xdr:rowOff>79232</xdr:rowOff>
    </xdr:to>
    <xdr:graphicFrame macro="">
      <xdr:nvGraphicFramePr>
        <xdr:cNvPr id="24" name="Chart 23">
          <a:extLst>
            <a:ext uri="{FF2B5EF4-FFF2-40B4-BE49-F238E27FC236}">
              <a16:creationId xmlns:a16="http://schemas.microsoft.com/office/drawing/2014/main" id="{9B40AB34-6FF7-4642-AFD8-0037C7CC5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425032</xdr:colOff>
      <xdr:row>57</xdr:row>
      <xdr:rowOff>119529</xdr:rowOff>
    </xdr:from>
    <xdr:to>
      <xdr:col>26</xdr:col>
      <xdr:colOff>70971</xdr:colOff>
      <xdr:row>82</xdr:row>
      <xdr:rowOff>95080</xdr:rowOff>
    </xdr:to>
    <xdr:graphicFrame macro="">
      <xdr:nvGraphicFramePr>
        <xdr:cNvPr id="25" name="Chart 24">
          <a:extLst>
            <a:ext uri="{FF2B5EF4-FFF2-40B4-BE49-F238E27FC236}">
              <a16:creationId xmlns:a16="http://schemas.microsoft.com/office/drawing/2014/main" id="{011F0BA8-C729-47CE-B53B-EF7E72FB4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5747</xdr:colOff>
      <xdr:row>57</xdr:row>
      <xdr:rowOff>86199</xdr:rowOff>
    </xdr:from>
    <xdr:to>
      <xdr:col>38</xdr:col>
      <xdr:colOff>66911</xdr:colOff>
      <xdr:row>82</xdr:row>
      <xdr:rowOff>46284</xdr:rowOff>
    </xdr:to>
    <xdr:graphicFrame macro="">
      <xdr:nvGraphicFramePr>
        <xdr:cNvPr id="26" name="Chart 25">
          <a:extLst>
            <a:ext uri="{FF2B5EF4-FFF2-40B4-BE49-F238E27FC236}">
              <a16:creationId xmlns:a16="http://schemas.microsoft.com/office/drawing/2014/main" id="{08C354A9-B055-41C2-BA66-D3EEBD444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222873</xdr:colOff>
      <xdr:row>84</xdr:row>
      <xdr:rowOff>65990</xdr:rowOff>
    </xdr:from>
    <xdr:to>
      <xdr:col>34</xdr:col>
      <xdr:colOff>245283</xdr:colOff>
      <xdr:row>112</xdr:row>
      <xdr:rowOff>111579</xdr:rowOff>
    </xdr:to>
    <xdr:graphicFrame macro="">
      <xdr:nvGraphicFramePr>
        <xdr:cNvPr id="27" name="Chart 26">
          <a:extLst>
            <a:ext uri="{FF2B5EF4-FFF2-40B4-BE49-F238E27FC236}">
              <a16:creationId xmlns:a16="http://schemas.microsoft.com/office/drawing/2014/main" id="{A75D3397-2CD1-4D81-86B3-1FF07E343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23</xdr:col>
      <xdr:colOff>229681</xdr:colOff>
      <xdr:row>27</xdr:row>
      <xdr:rowOff>54043</xdr:rowOff>
    </xdr:from>
    <xdr:ext cx="1351064" cy="635000"/>
    <xdr:sp macro="" textlink="Pivot!F73">
      <xdr:nvSpPr>
        <xdr:cNvPr id="28" name="TextBox 27">
          <a:extLst>
            <a:ext uri="{FF2B5EF4-FFF2-40B4-BE49-F238E27FC236}">
              <a16:creationId xmlns:a16="http://schemas.microsoft.com/office/drawing/2014/main" id="{585FC457-478F-C4FE-8AD4-FE62488DC4B0}"/>
            </a:ext>
          </a:extLst>
        </xdr:cNvPr>
        <xdr:cNvSpPr txBox="1"/>
      </xdr:nvSpPr>
      <xdr:spPr>
        <a:xfrm>
          <a:off x="14672553" y="5161064"/>
          <a:ext cx="1351064" cy="63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FEEB1BA-477B-4762-96E3-CE65B7A44612}" type="TxLink">
            <a:rPr lang="en-US" sz="2400" b="1" i="0" u="none" strike="noStrike">
              <a:solidFill>
                <a:srgbClr val="000000"/>
              </a:solidFill>
              <a:latin typeface="Aptos Narrow"/>
            </a:rPr>
            <a:pPr algn="ctr"/>
            <a:t>24750</a:t>
          </a:fld>
          <a:endParaRPr lang="en-IN" sz="2400" b="1"/>
        </a:p>
      </xdr:txBody>
    </xdr:sp>
    <xdr:clientData/>
  </xdr:oneCellAnchor>
  <xdr:twoCellAnchor>
    <xdr:from>
      <xdr:col>17</xdr:col>
      <xdr:colOff>13511</xdr:colOff>
      <xdr:row>26</xdr:row>
      <xdr:rowOff>148617</xdr:rowOff>
    </xdr:from>
    <xdr:to>
      <xdr:col>19</xdr:col>
      <xdr:colOff>607979</xdr:colOff>
      <xdr:row>30</xdr:row>
      <xdr:rowOff>162128</xdr:rowOff>
    </xdr:to>
    <xdr:sp macro="" textlink="Pivot!E73">
      <xdr:nvSpPr>
        <xdr:cNvPr id="29" name="TextBox 28">
          <a:extLst>
            <a:ext uri="{FF2B5EF4-FFF2-40B4-BE49-F238E27FC236}">
              <a16:creationId xmlns:a16="http://schemas.microsoft.com/office/drawing/2014/main" id="{72D864CA-5FDC-D8BB-732F-5A15313D0538}"/>
            </a:ext>
          </a:extLst>
        </xdr:cNvPr>
        <xdr:cNvSpPr txBox="1"/>
      </xdr:nvSpPr>
      <xdr:spPr>
        <a:xfrm>
          <a:off x="10808511" y="5066489"/>
          <a:ext cx="1702340" cy="7701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4FBEAE1A-8AC2-40E7-A308-3660B4CC3AB3}" type="TxLink">
            <a:rPr lang="en-US" sz="2400" b="1" i="0" u="none" strike="noStrike">
              <a:solidFill>
                <a:srgbClr val="000000"/>
              </a:solidFill>
              <a:latin typeface="Aptos Narrow"/>
              <a:ea typeface="+mn-ea"/>
              <a:cs typeface="+mn-cs"/>
            </a:rPr>
            <a:pPr marL="0" indent="0" algn="ctr"/>
            <a:t>124400</a:t>
          </a:fld>
          <a:endParaRPr lang="en-IN" sz="2400" b="1" i="0" u="none" strike="noStrike">
            <a:solidFill>
              <a:srgbClr val="000000"/>
            </a:solidFill>
            <a:latin typeface="Aptos Narrow"/>
            <a:ea typeface="+mn-ea"/>
            <a:cs typeface="+mn-cs"/>
          </a:endParaRPr>
        </a:p>
      </xdr:txBody>
    </xdr:sp>
    <xdr:clientData/>
  </xdr:twoCellAnchor>
  <xdr:twoCellAnchor>
    <xdr:from>
      <xdr:col>29</xdr:col>
      <xdr:colOff>0</xdr:colOff>
      <xdr:row>27</xdr:row>
      <xdr:rowOff>13511</xdr:rowOff>
    </xdr:from>
    <xdr:to>
      <xdr:col>32</xdr:col>
      <xdr:colOff>0</xdr:colOff>
      <xdr:row>31</xdr:row>
      <xdr:rowOff>13511</xdr:rowOff>
    </xdr:to>
    <xdr:sp macro="" textlink="Pivot!G73">
      <xdr:nvSpPr>
        <xdr:cNvPr id="30" name="TextBox 29">
          <a:extLst>
            <a:ext uri="{FF2B5EF4-FFF2-40B4-BE49-F238E27FC236}">
              <a16:creationId xmlns:a16="http://schemas.microsoft.com/office/drawing/2014/main" id="{3EB2590F-68BA-5C9C-F7AE-3592DB75288D}"/>
            </a:ext>
          </a:extLst>
        </xdr:cNvPr>
        <xdr:cNvSpPr txBox="1"/>
      </xdr:nvSpPr>
      <xdr:spPr>
        <a:xfrm>
          <a:off x="18252872" y="5120532"/>
          <a:ext cx="1905000" cy="7565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8DFFBCC-FA80-4E5C-B0F3-914AB629D365}" type="TxLink">
            <a:rPr lang="en-US" sz="2400" b="1" i="0" u="none" strike="noStrike">
              <a:solidFill>
                <a:srgbClr val="000000"/>
              </a:solidFill>
              <a:latin typeface="Aptos Narrow"/>
              <a:ea typeface="+mn-ea"/>
              <a:cs typeface="+mn-cs"/>
            </a:rPr>
            <a:pPr marL="0" indent="0" algn="ctr"/>
            <a:t>19.59</a:t>
          </a:fld>
          <a:endParaRPr lang="en-IN" sz="2400" b="1" i="0" u="none" strike="noStrike">
            <a:solidFill>
              <a:srgbClr val="000000"/>
            </a:solidFill>
            <a:latin typeface="Aptos Narrow"/>
            <a:ea typeface="+mn-ea"/>
            <a:cs typeface="+mn-cs"/>
          </a:endParaRPr>
        </a:p>
      </xdr:txBody>
    </xdr:sp>
    <xdr:clientData/>
  </xdr:twoCellAnchor>
  <xdr:twoCellAnchor>
    <xdr:from>
      <xdr:col>10</xdr:col>
      <xdr:colOff>473378</xdr:colOff>
      <xdr:row>24</xdr:row>
      <xdr:rowOff>88604</xdr:rowOff>
    </xdr:from>
    <xdr:to>
      <xdr:col>40</xdr:col>
      <xdr:colOff>413489</xdr:colOff>
      <xdr:row>114</xdr:row>
      <xdr:rowOff>57728</xdr:rowOff>
    </xdr:to>
    <xdr:sp macro="" textlink="">
      <xdr:nvSpPr>
        <xdr:cNvPr id="31" name="Rectangle 30">
          <a:extLst>
            <a:ext uri="{FF2B5EF4-FFF2-40B4-BE49-F238E27FC236}">
              <a16:creationId xmlns:a16="http://schemas.microsoft.com/office/drawing/2014/main" id="{8EAEEC79-E733-69C0-B408-5E90A80E74BE}"/>
            </a:ext>
          </a:extLst>
        </xdr:cNvPr>
        <xdr:cNvSpPr/>
      </xdr:nvSpPr>
      <xdr:spPr>
        <a:xfrm>
          <a:off x="6823378" y="4360422"/>
          <a:ext cx="18816929" cy="15757533"/>
        </a:xfrm>
        <a:prstGeom prst="rect">
          <a:avLst/>
        </a:prstGeom>
        <a:noFill/>
        <a:ln w="381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dvanced_Data_Visualization_Assignment_dpp.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dvanced_Data_Visualization_Assignment_dpp.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07868055558" createdVersion="8" refreshedVersion="8" minRefreshableVersion="3" recordCount="20" xr:uid="{45C529A9-645E-40E9-BC10-37A2EFF56D82}">
  <cacheSource type="worksheet">
    <worksheetSource ref="A1:H21" sheet="Sheet1" r:id="rId2"/>
  </cacheSource>
  <cacheFields count="8">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8933691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93561458334" createdVersion="8" refreshedVersion="8" minRefreshableVersion="3" recordCount="20" xr:uid="{298CB805-D970-4CAB-B1E8-81602C9B01BF}">
  <cacheSource type="worksheet">
    <worksheetSource name="Sales_data" r:id="rId2"/>
  </cacheSource>
  <cacheFields count="9">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 numFmtId="2">
      <sharedItems containsSemiMixedTypes="0" containsString="0" containsNumber="1" minValue="14.285714285714285" maxValue="22.222222222222221"/>
    </cacheField>
  </cacheFields>
  <extLst>
    <ext xmlns:x14="http://schemas.microsoft.com/office/spreadsheetml/2009/9/main" uri="{725AE2AE-9491-48be-B2B4-4EB974FC3084}">
      <x14:pivotCacheDefinition pivotCacheId="2094782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5000"/>
    <n v="0.1"/>
    <n v="1000"/>
    <n v="20"/>
  </r>
  <r>
    <x v="1"/>
    <x v="1"/>
    <x v="1"/>
    <x v="1"/>
    <x v="1"/>
    <n v="7000"/>
    <n v="0.05"/>
    <n v="1500"/>
    <n v="21.428571428571427"/>
  </r>
  <r>
    <x v="2"/>
    <x v="2"/>
    <x v="2"/>
    <x v="2"/>
    <x v="2"/>
    <n v="4000"/>
    <n v="0.08"/>
    <n v="800"/>
    <n v="20"/>
  </r>
  <r>
    <x v="3"/>
    <x v="3"/>
    <x v="3"/>
    <x v="3"/>
    <x v="3"/>
    <n v="3000"/>
    <n v="0.12"/>
    <n v="600"/>
    <n v="20"/>
  </r>
  <r>
    <x v="4"/>
    <x v="0"/>
    <x v="0"/>
    <x v="1"/>
    <x v="4"/>
    <n v="8400"/>
    <n v="7.0000000000000007E-2"/>
    <n v="1800"/>
    <n v="21.428571428571427"/>
  </r>
  <r>
    <x v="5"/>
    <x v="1"/>
    <x v="1"/>
    <x v="0"/>
    <x v="5"/>
    <n v="4900"/>
    <n v="0.06"/>
    <n v="900"/>
    <n v="18.367346938775512"/>
  </r>
  <r>
    <x v="6"/>
    <x v="2"/>
    <x v="2"/>
    <x v="3"/>
    <x v="6"/>
    <n v="10500"/>
    <n v="0.04"/>
    <n v="2100"/>
    <n v="20"/>
  </r>
  <r>
    <x v="7"/>
    <x v="3"/>
    <x v="3"/>
    <x v="2"/>
    <x v="7"/>
    <n v="6200"/>
    <n v="0.09"/>
    <n v="1200"/>
    <n v="19.35483870967742"/>
  </r>
  <r>
    <x v="8"/>
    <x v="0"/>
    <x v="0"/>
    <x v="0"/>
    <x v="8"/>
    <n v="2800"/>
    <n v="0.1"/>
    <n v="400"/>
    <n v="14.285714285714285"/>
  </r>
  <r>
    <x v="9"/>
    <x v="1"/>
    <x v="1"/>
    <x v="1"/>
    <x v="9"/>
    <n v="7700"/>
    <n v="0.03"/>
    <n v="1600"/>
    <n v="20.779220779220779"/>
  </r>
  <r>
    <x v="10"/>
    <x v="2"/>
    <x v="2"/>
    <x v="2"/>
    <x v="3"/>
    <n v="3600"/>
    <n v="0.05"/>
    <n v="700"/>
    <n v="19.444444444444446"/>
  </r>
  <r>
    <x v="11"/>
    <x v="3"/>
    <x v="3"/>
    <x v="3"/>
    <x v="10"/>
    <n v="9100"/>
    <n v="7.0000000000000007E-2"/>
    <n v="1900"/>
    <n v="20.87912087912088"/>
  </r>
  <r>
    <x v="12"/>
    <x v="0"/>
    <x v="0"/>
    <x v="1"/>
    <x v="1"/>
    <n v="8000"/>
    <n v="0.06"/>
    <n v="1500"/>
    <n v="18.75"/>
  </r>
  <r>
    <x v="13"/>
    <x v="1"/>
    <x v="1"/>
    <x v="0"/>
    <x v="2"/>
    <n v="4800"/>
    <n v="0.08"/>
    <n v="900"/>
    <n v="18.75"/>
  </r>
  <r>
    <x v="14"/>
    <x v="2"/>
    <x v="2"/>
    <x v="3"/>
    <x v="11"/>
    <n v="9900"/>
    <n v="0.04"/>
    <n v="2200"/>
    <n v="22.222222222222221"/>
  </r>
  <r>
    <x v="15"/>
    <x v="3"/>
    <x v="3"/>
    <x v="2"/>
    <x v="7"/>
    <n v="5700"/>
    <n v="0.11"/>
    <n v="1100"/>
    <n v="19.298245614035086"/>
  </r>
  <r>
    <x v="16"/>
    <x v="0"/>
    <x v="0"/>
    <x v="0"/>
    <x v="4"/>
    <n v="7500"/>
    <n v="0.09"/>
    <n v="1400"/>
    <n v="18.666666666666668"/>
  </r>
  <r>
    <x v="17"/>
    <x v="1"/>
    <x v="1"/>
    <x v="1"/>
    <x v="5"/>
    <n v="5200"/>
    <n v="0.06"/>
    <n v="1000"/>
    <n v="19.230769230769234"/>
  </r>
  <r>
    <x v="18"/>
    <x v="2"/>
    <x v="2"/>
    <x v="2"/>
    <x v="9"/>
    <n v="6800"/>
    <n v="0.05"/>
    <n v="1300"/>
    <n v="19.117647058823529"/>
  </r>
  <r>
    <x v="19"/>
    <x v="3"/>
    <x v="3"/>
    <x v="3"/>
    <x v="0"/>
    <n v="4300"/>
    <n v="7.0000000000000007E-2"/>
    <n v="850"/>
    <n v="19.767441860465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F76347-8221-4827-9BEC-AC814C0CA0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8">
    <pivotField numFmtId="164" showAll="0"/>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formats count="12">
    <format dxfId="11">
      <pivotArea field="1" type="button" dataOnly="0" labelOnly="1" outline="0" axis="axisRow" fieldPosition="0"/>
    </format>
    <format dxfId="12">
      <pivotArea dataOnly="0" labelOnly="1" outline="0" axis="axisValues" fieldPosition="0"/>
    </format>
    <format dxfId="13">
      <pivotArea field="1" type="button" dataOnly="0" labelOnly="1" outline="0" axis="axisRow" fieldPosition="0"/>
    </format>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fieldPosition="0">
        <references count="1">
          <reference field="1" count="0"/>
        </references>
      </pivotArea>
    </format>
    <format dxfId="18">
      <pivotArea dataOnly="0" labelOnly="1" grandRow="1" outline="0" fieldPosition="0"/>
    </format>
    <format dxfId="19">
      <pivotArea dataOnly="0" labelOnly="1" outline="0" axis="axisValues" fieldPosition="0"/>
    </format>
    <format dxfId="20">
      <pivotArea dataOnly="0" labelOnly="1" outline="0" axis="axisValues" fieldPosition="0"/>
    </format>
    <format dxfId="21">
      <pivotArea dataOnly="0" labelOnly="1" outline="0" axis="axisValues" fieldPosition="0"/>
    </format>
    <format dxfId="22">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DF5C1-34CB-42C0-89C6-BAF1BFAC785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L31:M52"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formats count="10">
    <format dxfId="23">
      <pivotArea field="1" type="button" dataOnly="0" labelOnly="1" outline="0"/>
    </format>
    <format dxfId="24">
      <pivotArea dataOnly="0" labelOnly="1" outline="0" axis="axisValues" fieldPosition="0"/>
    </format>
    <format dxfId="25">
      <pivotArea field="1" type="button" dataOnly="0" labelOnly="1" outline="0"/>
    </format>
    <format dxfId="26">
      <pivotArea type="all" dataOnly="0" outline="0" fieldPosition="0"/>
    </format>
    <format dxfId="27">
      <pivotArea outline="0" collapsedLevelsAreSubtotals="1" fieldPosition="0"/>
    </format>
    <format dxfId="28">
      <pivotArea field="1" type="button" dataOnly="0" labelOnly="1" outline="0"/>
    </format>
    <format dxfId="29">
      <pivotArea dataOnly="0" labelOnly="1" grandRow="1" outline="0" fieldPosition="0"/>
    </format>
    <format dxfId="30">
      <pivotArea dataOnly="0" labelOnly="1" outline="0" axis="axisValues" fieldPosition="0"/>
    </format>
    <format dxfId="31">
      <pivotArea field="0" type="button" dataOnly="0" labelOnly="1" outline="0" axis="axisRow"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E385D6-E76F-426C-A207-0BD3B622A7A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U6:V11"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s>
  <rowFields count="1">
    <field x="3"/>
  </rowFields>
  <rowItems count="5">
    <i>
      <x/>
    </i>
    <i>
      <x v="3"/>
    </i>
    <i>
      <x v="2"/>
    </i>
    <i>
      <x v="1"/>
    </i>
    <i t="grand">
      <x/>
    </i>
  </rowItems>
  <colItems count="1">
    <i/>
  </colItems>
  <dataFields count="1">
    <dataField name="Sum of Revenue" fld="5" baseField="0" baseItem="0"/>
  </dataFields>
  <formats count="9">
    <format dxfId="33">
      <pivotArea field="1" type="button" dataOnly="0" labelOnly="1" outline="0"/>
    </format>
    <format dxfId="34">
      <pivotArea dataOnly="0" labelOnly="1" outline="0" axis="axisValues" fieldPosition="0"/>
    </format>
    <format dxfId="35">
      <pivotArea field="1" type="button" dataOnly="0" labelOnly="1" outline="0"/>
    </format>
    <format dxfId="36">
      <pivotArea type="all" dataOnly="0" outline="0" fieldPosition="0"/>
    </format>
    <format dxfId="37">
      <pivotArea outline="0" collapsedLevelsAreSubtotals="1" fieldPosition="0"/>
    </format>
    <format dxfId="38">
      <pivotArea field="1" type="button" dataOnly="0" labelOnly="1" outline="0"/>
    </format>
    <format dxfId="39">
      <pivotArea dataOnly="0" labelOnly="1" grandRow="1" outline="0" fieldPosition="0"/>
    </format>
    <format dxfId="40">
      <pivotArea dataOnly="0" labelOnly="1" outline="0" axis="axisValues"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FF2099-4571-4C8A-967A-739E6B4896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27:V32" firstHeaderRow="1" firstDataRow="1" firstDataCol="1"/>
  <pivotFields count="8">
    <pivotField numFmtId="164"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s>
  <rowFields count="1">
    <field x="2"/>
  </rowFields>
  <rowItems count="5">
    <i>
      <x/>
    </i>
    <i>
      <x v="3"/>
    </i>
    <i>
      <x v="2"/>
    </i>
    <i>
      <x v="1"/>
    </i>
    <i t="grand">
      <x/>
    </i>
  </rowItems>
  <colItems count="1">
    <i/>
  </colItems>
  <dataFields count="1">
    <dataField name="Sum of Profit" fld="7" baseField="0" baseItem="0"/>
  </dataFields>
  <formats count="8">
    <format dxfId="42">
      <pivotArea field="1" type="button" dataOnly="0" labelOnly="1" outline="0"/>
    </format>
    <format dxfId="43">
      <pivotArea dataOnly="0" labelOnly="1" outline="0" axis="axisValues" fieldPosition="0"/>
    </format>
    <format dxfId="44">
      <pivotArea field="1" type="button" dataOnly="0" labelOnly="1" outline="0"/>
    </format>
    <format dxfId="45">
      <pivotArea type="all" dataOnly="0" outline="0" fieldPosition="0"/>
    </format>
    <format dxfId="46">
      <pivotArea outline="0" collapsedLevelsAreSubtotals="1" fieldPosition="0"/>
    </format>
    <format dxfId="47">
      <pivotArea field="1" type="button" dataOnly="0" labelOnly="1" outline="0"/>
    </format>
    <format dxfId="48">
      <pivotArea dataOnly="0" labelOnly="1" grandRow="1" outline="0"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9EA1B6-7914-4E22-961D-A1D4E0B57B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41:V46" firstHeaderRow="1" firstDataRow="1" firstDataCol="1"/>
  <pivotFields count="8">
    <pivotField numFmtId="16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s>
  <rowFields count="1">
    <field x="1"/>
  </rowFields>
  <rowItems count="5">
    <i>
      <x v="2"/>
    </i>
    <i>
      <x/>
    </i>
    <i>
      <x v="3"/>
    </i>
    <i>
      <x v="1"/>
    </i>
    <i t="grand">
      <x/>
    </i>
  </rowItems>
  <colItems count="1">
    <i/>
  </colItems>
  <dataFields count="1">
    <dataField name="Average of Discount" fld="6" subtotal="average" baseField="1" baseItem="0" numFmtId="9"/>
  </dataFields>
  <formats count="10">
    <format dxfId="50">
      <pivotArea field="1" type="button" dataOnly="0" labelOnly="1" outline="0" axis="axisRow" fieldPosition="0"/>
    </format>
    <format dxfId="51">
      <pivotArea dataOnly="0" labelOnly="1" outline="0" axis="axisValues" fieldPosition="0"/>
    </format>
    <format dxfId="52">
      <pivotArea field="1" type="button" dataOnly="0" labelOnly="1" outline="0" axis="axisRow" fieldPosition="0"/>
    </format>
    <format dxfId="53">
      <pivotArea type="all" dataOnly="0" outline="0" fieldPosition="0"/>
    </format>
    <format dxfId="54">
      <pivotArea outline="0" collapsedLevelsAreSubtotals="1" fieldPosition="0"/>
    </format>
    <format dxfId="55">
      <pivotArea field="1" type="button" dataOnly="0" labelOnly="1" outline="0" axis="axisRow" fieldPosition="0"/>
    </format>
    <format dxfId="56">
      <pivotArea dataOnly="0" labelOnly="1" grandRow="1" outline="0" fieldPosition="0"/>
    </format>
    <format dxfId="57">
      <pivotArea dataOnly="0" labelOnly="1" outline="0" axis="axisValues" fieldPosition="0"/>
    </format>
    <format dxfId="58">
      <pivotArea dataOnly="0" labelOnly="1" outline="0" axis="axisValues" fieldPosition="0"/>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CE0842-B853-4098-B0BF-7DA46A54D4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U53:V55"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items count="5">
        <item x="0"/>
        <item h="1" x="3"/>
        <item h="1" x="1"/>
        <item h="1" x="2"/>
        <item t="default"/>
      </items>
    </pivotField>
    <pivotField showAll="0"/>
    <pivotField dataField="1" showAll="0"/>
    <pivotField numFmtId="9" showAll="0"/>
    <pivotField showAll="0"/>
  </pivotFields>
  <rowFields count="1">
    <field x="3"/>
  </rowFields>
  <rowItems count="2">
    <i>
      <x/>
    </i>
    <i t="grand">
      <x/>
    </i>
  </rowItems>
  <colItems count="1">
    <i/>
  </colItems>
  <dataFields count="1">
    <dataField name="Sum of Revenue" fld="5" baseField="0" baseItem="0"/>
  </dataFields>
  <formats count="9">
    <format dxfId="60">
      <pivotArea field="1" type="button" dataOnly="0" labelOnly="1" outline="0"/>
    </format>
    <format dxfId="61">
      <pivotArea dataOnly="0" labelOnly="1" outline="0" axis="axisValues" fieldPosition="0"/>
    </format>
    <format dxfId="62">
      <pivotArea field="1" type="button" dataOnly="0" labelOnly="1" outline="0"/>
    </format>
    <format dxfId="63">
      <pivotArea type="all" dataOnly="0" outline="0" fieldPosition="0"/>
    </format>
    <format dxfId="64">
      <pivotArea outline="0" collapsedLevelsAreSubtotals="1" fieldPosition="0"/>
    </format>
    <format dxfId="65">
      <pivotArea field="1" type="button" dataOnly="0" labelOnly="1" outline="0"/>
    </format>
    <format dxfId="66">
      <pivotArea dataOnly="0" labelOnly="1" grandRow="1" outline="0" fieldPosition="0"/>
    </format>
    <format dxfId="67">
      <pivotArea dataOnly="0" labelOnly="1" outline="0" axis="axisValues"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B709EC-0AA0-4A19-BEEB-8BCD877EADB2}"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alesperson">
  <location ref="E14:F1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axis="axisRow" showAll="0" sortType="a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dataField="1" showAll="0"/>
    <pivotField numFmtId="9" showAll="0"/>
    <pivotField showAll="0"/>
    <pivotField numFmtId="2" showAll="0"/>
  </pivotFields>
  <rowFields count="1">
    <field x="2"/>
  </rowFields>
  <rowItems count="5">
    <i>
      <x v="1"/>
    </i>
    <i>
      <x v="2"/>
    </i>
    <i>
      <x v="3"/>
    </i>
    <i>
      <x/>
    </i>
    <i t="grand">
      <x/>
    </i>
  </rowItems>
  <colItems count="1">
    <i/>
  </colItems>
  <dataFields count="1">
    <dataField name="Sum of Revenue" fld="5" baseField="0" baseItem="0"/>
  </dataFields>
  <chartFormats count="2">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04F4E3-F380-48F0-9914-C8F913563126}"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Product">
  <location ref="E22:F27"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axis="axisRow" showAll="0">
      <items count="5">
        <item x="0"/>
        <item x="3"/>
        <item x="1"/>
        <item x="2"/>
        <item t="default"/>
      </items>
    </pivotField>
    <pivotField dataField="1" showAll="0">
      <items count="13">
        <item x="8"/>
        <item x="0"/>
        <item x="3"/>
        <item x="5"/>
        <item x="2"/>
        <item x="7"/>
        <item x="1"/>
        <item x="9"/>
        <item x="4"/>
        <item x="10"/>
        <item x="11"/>
        <item x="6"/>
        <item t="default"/>
      </items>
    </pivotField>
    <pivotField showAll="0"/>
    <pivotField numFmtId="9" showAll="0"/>
    <pivotField showAll="0"/>
    <pivotField numFmtId="2" showAll="0"/>
  </pivotFields>
  <rowFields count="1">
    <field x="3"/>
  </rowFields>
  <rowItems count="5">
    <i>
      <x/>
    </i>
    <i>
      <x v="1"/>
    </i>
    <i>
      <x v="2"/>
    </i>
    <i>
      <x v="3"/>
    </i>
    <i t="grand">
      <x/>
    </i>
  </rowItems>
  <colItems count="1">
    <i/>
  </colItems>
  <dataFields count="1">
    <dataField name="Sum of Units Sold" fld="4" baseField="0" baseItem="0"/>
  </dataFields>
  <chartFormats count="2">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45C927-2596-4BEB-928B-7BB92CAC5F67}"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Region">
  <location ref="E54:F5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numFmtId="9" showAll="0"/>
    <pivotField dataField="1" showAll="0"/>
    <pivotField numFmtId="2" showAll="0"/>
  </pivotFields>
  <rowFields count="1">
    <field x="1"/>
  </rowFields>
  <rowItems count="5">
    <i>
      <x/>
    </i>
    <i>
      <x v="1"/>
    </i>
    <i>
      <x v="2"/>
    </i>
    <i>
      <x v="3"/>
    </i>
    <i t="grand">
      <x/>
    </i>
  </rowItems>
  <colItems count="1">
    <i/>
  </colItems>
  <dataFields count="1">
    <dataField name="Sum of Profit" fld="7" baseField="0" baseItem="0"/>
  </dataFields>
  <chartFormats count="2">
    <chartFormat chart="4"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AEADE0-E395-4B13-9164-E97DE08E1F44}"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rowHeaderCaption="Region">
  <location ref="E6:F11"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1"/>
  </rowFields>
  <rowItems count="5">
    <i>
      <x/>
    </i>
    <i>
      <x v="1"/>
    </i>
    <i>
      <x v="2"/>
    </i>
    <i>
      <x v="3"/>
    </i>
    <i t="grand">
      <x/>
    </i>
  </rowItems>
  <colItems count="1">
    <i/>
  </colItems>
  <dataFields count="1">
    <dataField name="Sum of Revenue" fld="5" baseField="0" baseItem="0"/>
  </dataFields>
  <chartFormats count="2">
    <chartFormat chart="7"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8A8096-7A2D-4104-B696-0CE4D4BBBAD7}"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rowHeaderCaption="Region">
  <location ref="E62:G67" firstHeaderRow="0"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dataField="1" numFmtId="9" showAll="0"/>
    <pivotField showAll="0"/>
    <pivotField numFmtId="2" showAll="0"/>
  </pivotFields>
  <rowFields count="1">
    <field x="1"/>
  </rowFields>
  <rowItems count="5">
    <i>
      <x/>
    </i>
    <i>
      <x v="1"/>
    </i>
    <i>
      <x v="2"/>
    </i>
    <i>
      <x v="3"/>
    </i>
    <i t="grand">
      <x/>
    </i>
  </rowItems>
  <colFields count="1">
    <field x="-2"/>
  </colFields>
  <colItems count="2">
    <i>
      <x/>
    </i>
    <i i="1">
      <x v="1"/>
    </i>
  </colItems>
  <dataFields count="2">
    <dataField name="Average of Discount" fld="6" subtotal="average" baseField="1" baseItem="0" numFmtId="9"/>
    <dataField name="Total Discount" fld="6" subtotal="average" showDataAs="percentOfTotal" baseField="1" baseItem="0" numFmtId="165"/>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48F3E6-DC58-4BAF-A622-3B3416FB772A}"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71:G72" firstHeaderRow="0" firstDataRow="1" firstDataCol="0"/>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dataField="1" showAll="0"/>
    <pivotField dataField="1" numFmtId="2" showAll="0"/>
  </pivotFields>
  <rowItems count="1">
    <i/>
  </rowItems>
  <colFields count="1">
    <field x="-2"/>
  </colFields>
  <colItems count="3">
    <i>
      <x/>
    </i>
    <i i="1">
      <x v="1"/>
    </i>
    <i i="2">
      <x v="2"/>
    </i>
  </colItems>
  <dataFields count="3">
    <dataField name="Sum of Revenue" fld="5" baseField="0" baseItem="0"/>
    <dataField name="Sum of Profit" fld="7" baseField="0" baseItem="0"/>
    <dataField name="Average of Profit Margin %" fld="8" subtotal="average" baseField="0" baseItem="1" numFmtId="2"/>
  </dataField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E02821-45A1-4F9C-985D-B40CC1B8EA90}"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rowHeaderCaption="Date">
  <location ref="E30:F51" firstHeaderRow="1" firstDataRow="1" firstDataCol="1"/>
  <pivotFields count="9">
    <pivotField axis="axisRow" numFmtId="164"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showAll="0"/>
    <pivotField numFmtId="2" showAll="0"/>
  </pivotFields>
  <rowFields count="1">
    <field x="0"/>
  </rowFields>
  <rowItems count="21">
    <i>
      <x v="8"/>
    </i>
    <i>
      <x v="3"/>
    </i>
    <i>
      <x v="10"/>
    </i>
    <i>
      <x v="2"/>
    </i>
    <i>
      <x v="19"/>
    </i>
    <i>
      <x v="13"/>
    </i>
    <i>
      <x v="5"/>
    </i>
    <i>
      <x/>
    </i>
    <i>
      <x v="17"/>
    </i>
    <i>
      <x v="15"/>
    </i>
    <i>
      <x v="7"/>
    </i>
    <i>
      <x v="18"/>
    </i>
    <i>
      <x v="1"/>
    </i>
    <i>
      <x v="16"/>
    </i>
    <i>
      <x v="9"/>
    </i>
    <i>
      <x v="12"/>
    </i>
    <i>
      <x v="4"/>
    </i>
    <i>
      <x v="11"/>
    </i>
    <i>
      <x v="14"/>
    </i>
    <i>
      <x v="6"/>
    </i>
    <i t="grand">
      <x/>
    </i>
  </rowItems>
  <colItems count="1">
    <i/>
  </colItems>
  <dataFields count="1">
    <dataField name="Sum of Revenue" fld="5" baseField="0" baseItem="0"/>
  </dataFields>
  <chartFormats count="2">
    <chartFormat chart="4"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23"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B7E2D7E-31E8-483D-8228-2D1E4594BEC7}" sourceName="Salesperson">
  <pivotTables>
    <pivotTable tabId="1" name="PivotTable6"/>
    <pivotTable tabId="1" name="PivotTable5"/>
    <pivotTable tabId="1" name="PivotTable4"/>
    <pivotTable tabId="1" name="PivotTable3"/>
    <pivotTable tabId="1" name="PivotTable2"/>
    <pivotTable tabId="1" name="PivotTable1"/>
  </pivotTables>
  <data>
    <tabular pivotCacheId="1893369199">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A93ACBC-1DEA-4833-92A3-E041125EF861}" sourceName="Product">
  <pivotTables>
    <pivotTable tabId="1" name="PivotTable1"/>
  </pivotTables>
  <data>
    <tabular pivotCacheId="1893369199">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8256C0-5271-4999-BEE4-D8383B37FACF}" sourceName="Region">
  <pivotTables>
    <pivotTable tabId="2" name="PivotTable10"/>
    <pivotTable tabId="2" name="PivotTable11"/>
    <pivotTable tabId="2" name="PivotTable12"/>
    <pivotTable tabId="2" name="PivotTable13"/>
    <pivotTable tabId="2" name="PivotTable7"/>
    <pivotTable tabId="2" name="PivotTable8"/>
  </pivotTables>
  <data>
    <tabular pivotCacheId="209478243">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CF62C730-F710-497D-A037-56E8456FB88A}" sourceName="Salesperson">
  <pivotTables>
    <pivotTable tabId="2" name="PivotTable10"/>
    <pivotTable tabId="2" name="PivotTable11"/>
    <pivotTable tabId="2" name="PivotTable13"/>
    <pivotTable tabId="2" name="PivotTable7"/>
    <pivotTable tabId="2" name="PivotTable8"/>
    <pivotTable tabId="2" name="PivotTable9"/>
  </pivotTables>
  <data>
    <tabular pivotCacheId="209478243">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8E501D1-27CA-4AAA-B3FE-48F38CE8AA6F}" sourceName="Product">
  <pivotTables>
    <pivotTable tabId="2" name="PivotTable10"/>
    <pivotTable tabId="2" name="PivotTable11"/>
    <pivotTable tabId="2" name="PivotTable12"/>
    <pivotTable tabId="2" name="PivotTable13"/>
    <pivotTable tabId="2" name="PivotTable7"/>
    <pivotTable tabId="2" name="PivotTable8"/>
    <pivotTable tabId="2" name="PivotTable9"/>
  </pivotTables>
  <data>
    <tabular pivotCacheId="209478243">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C01A14C-B506-4A86-BF82-A8C94C84DBB1}" cache="Slicer_Salesperson" caption="Salesperson" style="SlicerStyleDark1" rowHeight="180000"/>
  <slicer name="Product" xr10:uid="{46117E43-7C10-482F-89E7-6B551B5A1C8D}" cache="Slicer_Product" caption="Product" columnCount="2" style="SlicerStyleDark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24BE99-F7BC-4FE1-9DE9-0ED5AA5FAB44}" cache="Slicer_Region" caption="Region" rowHeight="180000"/>
  <slicer name="Salesperson 1" xr10:uid="{421DBACE-BA92-4357-8B58-1E2ADC52D9CA}" cache="Slicer_Salesperson1" caption="Salesperson" rowHeight="180000"/>
  <slicer name="Product 1" xr10:uid="{D062FF87-CAE9-400E-A575-E22A2D851FAD}" cache="Slicer_Product1" caption="Produc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F01037-86CE-40B8-908F-C0E225A9356B}" name="Sales_data" displayName="Sales_data" ref="A1:I21" totalsRowShown="0" headerRowDxfId="10" dataDxfId="9">
  <autoFilter ref="A1:I21" xr:uid="{CFF01037-86CE-40B8-908F-C0E225A9356B}"/>
  <tableColumns count="9">
    <tableColumn id="1" xr3:uid="{814A2927-D478-4824-994D-A170A108E3AE}" name="Date" dataDxfId="8"/>
    <tableColumn id="2" xr3:uid="{34C08DEE-A37F-4D61-96D0-0896F2049E30}" name="Region" dataDxfId="7"/>
    <tableColumn id="3" xr3:uid="{01A3BCCE-909F-481D-85AA-5C3700743169}" name="Salesperson" dataDxfId="6"/>
    <tableColumn id="4" xr3:uid="{7C1578E0-A67F-4601-B3E4-D3FB4840C47E}" name="Product" dataDxfId="5"/>
    <tableColumn id="5" xr3:uid="{F19107BB-FE5F-4FEE-9D6E-1FA4623A978F}" name="Units Sold" dataDxfId="4"/>
    <tableColumn id="6" xr3:uid="{B839EA3B-753E-4610-B21F-592FFF17C513}" name="Revenue" dataDxfId="3"/>
    <tableColumn id="7" xr3:uid="{E901489E-70EE-4D69-BC07-E2471AD10F49}" name="Discount" dataDxfId="2"/>
    <tableColumn id="8" xr3:uid="{4DFBB173-1F24-405A-BD9C-3073BC3E69E3}" name="Profit" dataDxfId="1"/>
    <tableColumn id="9" xr3:uid="{95A9F95D-4BD4-4A03-B181-88BEF70F358B}" name="Profit Margin %" dataDxfId="0">
      <calculatedColumnFormula>(H2/F2)*100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AF69C29-1059-4B10-B4AC-0FCA81AC6AB5}" sourceName="Date">
  <pivotTables>
    <pivotTable tabId="1" name="PivotTable5"/>
  </pivotTables>
  <state minimalRefreshVersion="6" lastRefreshVersion="6" pivotCacheId="1893369199"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CDFEE49-9739-4121-BF73-508126DBABBA}" sourceName="Date">
  <pivotTables>
    <pivotTable tabId="2" name="PivotTable10"/>
    <pivotTable tabId="2" name="PivotTable11"/>
    <pivotTable tabId="2" name="PivotTable12"/>
    <pivotTable tabId="2" name="PivotTable13"/>
    <pivotTable tabId="2" name="PivotTable7"/>
    <pivotTable tabId="2" name="PivotTable8"/>
  </pivotTables>
  <state minimalRefreshVersion="6" lastRefreshVersion="6" pivotCacheId="209478243"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17D6C21-54B9-43F1-9CC3-C4941ED08965}" cache="NativeTimeline_Date" caption="Date" level="3" selectionLevel="3"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1D093DB-236A-416B-BAA9-76910B427992}" cache="NativeTimeline_Date1" caption="Date" level="3" selectionLevel="2"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CEEB7-60C6-4D8C-AE79-D8555C87EA93}">
  <dimension ref="A1:AG55"/>
  <sheetViews>
    <sheetView tabSelected="1" zoomScale="42" workbookViewId="0">
      <selection activeCell="AW42" sqref="AW42"/>
    </sheetView>
  </sheetViews>
  <sheetFormatPr defaultRowHeight="14.5" x14ac:dyDescent="0.35"/>
  <cols>
    <col min="1" max="1" width="11.7265625" customWidth="1"/>
    <col min="2" max="2" width="8.81640625" customWidth="1"/>
    <col min="3" max="3" width="13.453125" customWidth="1"/>
    <col min="4" max="4" width="9.54296875" customWidth="1"/>
    <col min="5" max="5" width="11.7265625" customWidth="1"/>
    <col min="6" max="6" width="10.1796875" customWidth="1"/>
    <col min="7" max="7" width="12.26953125" customWidth="1"/>
    <col min="8" max="8" width="14.36328125" customWidth="1"/>
    <col min="9" max="9" width="16" customWidth="1"/>
    <col min="12" max="12" width="11.81640625" customWidth="1"/>
    <col min="13" max="13" width="13.6328125" bestFit="1" customWidth="1"/>
    <col min="17" max="17" width="9.81640625" customWidth="1"/>
  </cols>
  <sheetData>
    <row r="1" spans="1:33" x14ac:dyDescent="0.35">
      <c r="A1" s="1" t="s">
        <v>0</v>
      </c>
      <c r="B1" s="1" t="s">
        <v>1</v>
      </c>
      <c r="C1" s="1" t="s">
        <v>2</v>
      </c>
      <c r="D1" s="1" t="s">
        <v>3</v>
      </c>
      <c r="E1" s="1" t="s">
        <v>4</v>
      </c>
      <c r="F1" s="1" t="s">
        <v>5</v>
      </c>
      <c r="G1" s="1" t="s">
        <v>6</v>
      </c>
      <c r="H1" s="1" t="s">
        <v>7</v>
      </c>
      <c r="I1" s="1" t="s">
        <v>8</v>
      </c>
    </row>
    <row r="2" spans="1:33" ht="16" x14ac:dyDescent="0.4">
      <c r="A2" s="2">
        <v>45292</v>
      </c>
      <c r="B2" s="3" t="s">
        <v>9</v>
      </c>
      <c r="C2" s="3" t="s">
        <v>10</v>
      </c>
      <c r="D2" s="3" t="s">
        <v>11</v>
      </c>
      <c r="E2" s="3">
        <v>5</v>
      </c>
      <c r="F2" s="3">
        <v>5000</v>
      </c>
      <c r="G2" s="4">
        <v>0.1</v>
      </c>
      <c r="H2" s="3">
        <v>1000</v>
      </c>
      <c r="I2" s="5">
        <f>(H2/F2)*100</f>
        <v>20</v>
      </c>
      <c r="L2" s="6" t="s">
        <v>12</v>
      </c>
      <c r="U2" s="6" t="s">
        <v>13</v>
      </c>
      <c r="AE2" s="6" t="s">
        <v>14</v>
      </c>
    </row>
    <row r="3" spans="1:33" x14ac:dyDescent="0.35">
      <c r="A3" s="2">
        <v>45293</v>
      </c>
      <c r="B3" s="3" t="s">
        <v>15</v>
      </c>
      <c r="C3" s="3" t="s">
        <v>16</v>
      </c>
      <c r="D3" s="3" t="s">
        <v>17</v>
      </c>
      <c r="E3" s="3">
        <v>10</v>
      </c>
      <c r="F3" s="3">
        <v>7000</v>
      </c>
      <c r="G3" s="4">
        <v>0.05</v>
      </c>
      <c r="H3" s="3">
        <v>1500</v>
      </c>
      <c r="I3" s="5">
        <f t="shared" ref="I3:I21" si="0">(H3/F3)*100</f>
        <v>21.428571428571427</v>
      </c>
    </row>
    <row r="4" spans="1:33" x14ac:dyDescent="0.35">
      <c r="A4" s="2">
        <v>45294</v>
      </c>
      <c r="B4" s="3" t="s">
        <v>18</v>
      </c>
      <c r="C4" s="3" t="s">
        <v>19</v>
      </c>
      <c r="D4" s="3" t="s">
        <v>20</v>
      </c>
      <c r="E4" s="3">
        <v>8</v>
      </c>
      <c r="F4" s="3">
        <v>4000</v>
      </c>
      <c r="G4" s="4">
        <v>0.08</v>
      </c>
      <c r="H4" s="3">
        <v>800</v>
      </c>
      <c r="I4" s="5">
        <f t="shared" si="0"/>
        <v>20</v>
      </c>
      <c r="L4" s="7" t="s">
        <v>21</v>
      </c>
      <c r="U4" s="7" t="s">
        <v>22</v>
      </c>
      <c r="AE4" s="7" t="s">
        <v>23</v>
      </c>
    </row>
    <row r="5" spans="1:33" ht="15" thickBot="1" x14ac:dyDescent="0.4">
      <c r="A5" s="2">
        <v>45295</v>
      </c>
      <c r="B5" s="3" t="s">
        <v>24</v>
      </c>
      <c r="C5" s="3" t="s">
        <v>25</v>
      </c>
      <c r="D5" s="3" t="s">
        <v>26</v>
      </c>
      <c r="E5" s="3">
        <v>6</v>
      </c>
      <c r="F5" s="3">
        <v>3000</v>
      </c>
      <c r="G5" s="4">
        <v>0.12</v>
      </c>
      <c r="H5" s="3">
        <v>600</v>
      </c>
      <c r="I5" s="5">
        <f t="shared" si="0"/>
        <v>20</v>
      </c>
      <c r="AE5" s="7" t="s">
        <v>27</v>
      </c>
    </row>
    <row r="6" spans="1:33" ht="15" thickBot="1" x14ac:dyDescent="0.4">
      <c r="A6" s="2">
        <v>45296</v>
      </c>
      <c r="B6" s="3" t="s">
        <v>9</v>
      </c>
      <c r="C6" s="3" t="s">
        <v>10</v>
      </c>
      <c r="D6" s="3" t="s">
        <v>17</v>
      </c>
      <c r="E6" s="3">
        <v>12</v>
      </c>
      <c r="F6" s="3">
        <v>8400</v>
      </c>
      <c r="G6" s="4">
        <v>7.0000000000000007E-2</v>
      </c>
      <c r="H6" s="3">
        <v>1800</v>
      </c>
      <c r="I6" s="5">
        <f t="shared" si="0"/>
        <v>21.428571428571427</v>
      </c>
      <c r="L6" s="38" t="s">
        <v>1</v>
      </c>
      <c r="M6" s="8" t="s">
        <v>28</v>
      </c>
      <c r="O6" s="9" t="s">
        <v>29</v>
      </c>
      <c r="U6" s="35" t="s">
        <v>3</v>
      </c>
      <c r="V6" s="10" t="s">
        <v>28</v>
      </c>
    </row>
    <row r="7" spans="1:33" x14ac:dyDescent="0.35">
      <c r="A7" s="2">
        <v>45297</v>
      </c>
      <c r="B7" s="3" t="s">
        <v>15</v>
      </c>
      <c r="C7" s="3" t="s">
        <v>16</v>
      </c>
      <c r="D7" s="3" t="s">
        <v>11</v>
      </c>
      <c r="E7" s="3">
        <v>7</v>
      </c>
      <c r="F7" s="3">
        <v>4900</v>
      </c>
      <c r="G7" s="4">
        <v>0.06</v>
      </c>
      <c r="H7" s="3">
        <v>900</v>
      </c>
      <c r="I7" s="5">
        <f t="shared" si="0"/>
        <v>18.367346938775512</v>
      </c>
      <c r="L7" s="11" t="s">
        <v>9</v>
      </c>
      <c r="M7" s="12">
        <v>31700</v>
      </c>
      <c r="O7" s="13" t="s">
        <v>30</v>
      </c>
      <c r="U7" s="14" t="s">
        <v>11</v>
      </c>
      <c r="V7" s="12">
        <v>25000</v>
      </c>
      <c r="AE7" s="9" t="s">
        <v>31</v>
      </c>
    </row>
    <row r="8" spans="1:33" x14ac:dyDescent="0.35">
      <c r="A8" s="2">
        <v>45298</v>
      </c>
      <c r="B8" s="3" t="s">
        <v>18</v>
      </c>
      <c r="C8" s="3" t="s">
        <v>19</v>
      </c>
      <c r="D8" s="3" t="s">
        <v>26</v>
      </c>
      <c r="E8" s="3">
        <v>15</v>
      </c>
      <c r="F8" s="3">
        <v>10500</v>
      </c>
      <c r="G8" s="4">
        <v>0.04</v>
      </c>
      <c r="H8" s="3">
        <v>2100</v>
      </c>
      <c r="I8" s="5">
        <f t="shared" si="0"/>
        <v>20</v>
      </c>
      <c r="L8" s="15" t="s">
        <v>18</v>
      </c>
      <c r="M8" s="16">
        <v>34800</v>
      </c>
      <c r="U8" s="14" t="s">
        <v>20</v>
      </c>
      <c r="V8" s="16">
        <v>26300</v>
      </c>
      <c r="AE8" s="13">
        <f>COUNTIF(H2:H21,"&lt;1000")</f>
        <v>7</v>
      </c>
      <c r="AF8" s="7" t="s">
        <v>32</v>
      </c>
    </row>
    <row r="9" spans="1:33" x14ac:dyDescent="0.35">
      <c r="A9" s="2">
        <v>45299</v>
      </c>
      <c r="B9" s="3" t="s">
        <v>24</v>
      </c>
      <c r="C9" s="3" t="s">
        <v>25</v>
      </c>
      <c r="D9" s="3" t="s">
        <v>20</v>
      </c>
      <c r="E9" s="3">
        <v>9</v>
      </c>
      <c r="F9" s="3">
        <v>6200</v>
      </c>
      <c r="G9" s="4">
        <v>0.09</v>
      </c>
      <c r="H9" s="3">
        <v>1200</v>
      </c>
      <c r="I9" s="5">
        <f t="shared" si="0"/>
        <v>19.35483870967742</v>
      </c>
      <c r="L9" s="15" t="s">
        <v>24</v>
      </c>
      <c r="M9" s="16">
        <v>28300</v>
      </c>
      <c r="U9" s="14" t="s">
        <v>17</v>
      </c>
      <c r="V9" s="16">
        <v>36300</v>
      </c>
    </row>
    <row r="10" spans="1:33" ht="15" thickBot="1" x14ac:dyDescent="0.4">
      <c r="A10" s="2">
        <v>45300</v>
      </c>
      <c r="B10" s="3" t="s">
        <v>9</v>
      </c>
      <c r="C10" s="3" t="s">
        <v>10</v>
      </c>
      <c r="D10" s="3" t="s">
        <v>11</v>
      </c>
      <c r="E10" s="3">
        <v>4</v>
      </c>
      <c r="F10" s="3">
        <v>2800</v>
      </c>
      <c r="G10" s="4">
        <v>0.1</v>
      </c>
      <c r="H10" s="3">
        <v>400</v>
      </c>
      <c r="I10" s="5">
        <f t="shared" si="0"/>
        <v>14.285714285714285</v>
      </c>
      <c r="L10" s="17" t="s">
        <v>15</v>
      </c>
      <c r="M10" s="16">
        <v>29600</v>
      </c>
      <c r="U10" s="14" t="s">
        <v>26</v>
      </c>
      <c r="V10" s="16">
        <v>36800</v>
      </c>
    </row>
    <row r="11" spans="1:33" ht="16.5" thickBot="1" x14ac:dyDescent="0.45">
      <c r="A11" s="2">
        <v>45301</v>
      </c>
      <c r="B11" s="3" t="s">
        <v>15</v>
      </c>
      <c r="C11" s="3" t="s">
        <v>16</v>
      </c>
      <c r="D11" s="3" t="s">
        <v>17</v>
      </c>
      <c r="E11" s="3">
        <v>11</v>
      </c>
      <c r="F11" s="3">
        <v>7700</v>
      </c>
      <c r="G11" s="4">
        <v>0.03</v>
      </c>
      <c r="H11" s="3">
        <v>1600</v>
      </c>
      <c r="I11" s="5">
        <f t="shared" si="0"/>
        <v>20.779220779220779</v>
      </c>
      <c r="L11" s="18" t="s">
        <v>33</v>
      </c>
      <c r="M11" s="19">
        <v>124400</v>
      </c>
      <c r="U11" s="18" t="s">
        <v>33</v>
      </c>
      <c r="V11" s="19">
        <v>124400</v>
      </c>
      <c r="AE11" s="6" t="s">
        <v>34</v>
      </c>
    </row>
    <row r="12" spans="1:33" ht="15" thickBot="1" x14ac:dyDescent="0.4">
      <c r="A12" s="2">
        <v>45302</v>
      </c>
      <c r="B12" s="3" t="s">
        <v>18</v>
      </c>
      <c r="C12" s="3" t="s">
        <v>19</v>
      </c>
      <c r="D12" s="3" t="s">
        <v>20</v>
      </c>
      <c r="E12" s="3">
        <v>6</v>
      </c>
      <c r="F12" s="3">
        <v>3600</v>
      </c>
      <c r="G12" s="4">
        <v>0.05</v>
      </c>
      <c r="H12" s="3">
        <v>700</v>
      </c>
      <c r="I12" s="5">
        <f t="shared" si="0"/>
        <v>19.444444444444446</v>
      </c>
    </row>
    <row r="13" spans="1:33" x14ac:dyDescent="0.35">
      <c r="A13" s="2">
        <v>45303</v>
      </c>
      <c r="B13" s="3" t="s">
        <v>24</v>
      </c>
      <c r="C13" s="3" t="s">
        <v>25</v>
      </c>
      <c r="D13" s="3" t="s">
        <v>26</v>
      </c>
      <c r="E13" s="3">
        <v>13</v>
      </c>
      <c r="F13" s="3">
        <v>9100</v>
      </c>
      <c r="G13" s="4">
        <v>7.0000000000000007E-2</v>
      </c>
      <c r="H13" s="3">
        <v>1900</v>
      </c>
      <c r="I13" s="5">
        <f t="shared" si="0"/>
        <v>20.87912087912088</v>
      </c>
      <c r="U13" s="20" t="s">
        <v>35</v>
      </c>
      <c r="V13" s="21"/>
      <c r="AE13" s="7" t="s">
        <v>36</v>
      </c>
    </row>
    <row r="14" spans="1:33" ht="16.5" thickBot="1" x14ac:dyDescent="0.45">
      <c r="A14" s="2">
        <v>45304</v>
      </c>
      <c r="B14" s="3" t="s">
        <v>9</v>
      </c>
      <c r="C14" s="3" t="s">
        <v>10</v>
      </c>
      <c r="D14" s="3" t="s">
        <v>17</v>
      </c>
      <c r="E14" s="3">
        <v>10</v>
      </c>
      <c r="F14" s="3">
        <v>8000</v>
      </c>
      <c r="G14" s="4">
        <v>0.06</v>
      </c>
      <c r="H14" s="3">
        <v>1500</v>
      </c>
      <c r="I14" s="5">
        <f t="shared" si="0"/>
        <v>18.75</v>
      </c>
      <c r="L14" s="6" t="s">
        <v>37</v>
      </c>
      <c r="U14" s="22" t="s">
        <v>38</v>
      </c>
      <c r="V14" s="23"/>
      <c r="AE14" s="7" t="s">
        <v>39</v>
      </c>
    </row>
    <row r="15" spans="1:33" x14ac:dyDescent="0.35">
      <c r="A15" s="2">
        <v>45305</v>
      </c>
      <c r="B15" s="3" t="s">
        <v>15</v>
      </c>
      <c r="C15" s="3" t="s">
        <v>16</v>
      </c>
      <c r="D15" s="3" t="s">
        <v>11</v>
      </c>
      <c r="E15" s="3">
        <v>8</v>
      </c>
      <c r="F15" s="3">
        <v>4800</v>
      </c>
      <c r="G15" s="4">
        <v>0.08</v>
      </c>
      <c r="H15" s="3">
        <v>900</v>
      </c>
      <c r="I15" s="5">
        <f t="shared" si="0"/>
        <v>18.75</v>
      </c>
      <c r="AF15" s="5">
        <f>MAX(I2:I21)</f>
        <v>22.222222222222221</v>
      </c>
      <c r="AG15" t="s">
        <v>40</v>
      </c>
    </row>
    <row r="16" spans="1:33" x14ac:dyDescent="0.35">
      <c r="A16" s="2">
        <v>45306</v>
      </c>
      <c r="B16" s="3" t="s">
        <v>18</v>
      </c>
      <c r="C16" s="3" t="s">
        <v>19</v>
      </c>
      <c r="D16" s="3" t="s">
        <v>26</v>
      </c>
      <c r="E16" s="3">
        <v>14</v>
      </c>
      <c r="F16" s="3">
        <v>9900</v>
      </c>
      <c r="G16" s="4">
        <v>0.04</v>
      </c>
      <c r="H16" s="3">
        <v>2200</v>
      </c>
      <c r="I16" s="5">
        <f t="shared" si="0"/>
        <v>22.222222222222221</v>
      </c>
      <c r="L16" s="24" t="s">
        <v>41</v>
      </c>
      <c r="AE16" s="9" t="s">
        <v>42</v>
      </c>
    </row>
    <row r="17" spans="1:31" x14ac:dyDescent="0.35">
      <c r="A17" s="2">
        <v>45307</v>
      </c>
      <c r="B17" s="3" t="s">
        <v>24</v>
      </c>
      <c r="C17" s="3" t="s">
        <v>25</v>
      </c>
      <c r="D17" s="3" t="s">
        <v>20</v>
      </c>
      <c r="E17" s="3">
        <v>9</v>
      </c>
      <c r="F17" s="3">
        <v>5700</v>
      </c>
      <c r="G17" s="4">
        <v>0.11</v>
      </c>
      <c r="H17" s="3">
        <v>1100</v>
      </c>
      <c r="I17" s="5">
        <f t="shared" si="0"/>
        <v>19.298245614035086</v>
      </c>
    </row>
    <row r="18" spans="1:31" x14ac:dyDescent="0.35">
      <c r="A18" s="2">
        <v>45308</v>
      </c>
      <c r="B18" s="3" t="s">
        <v>9</v>
      </c>
      <c r="C18" s="3" t="s">
        <v>10</v>
      </c>
      <c r="D18" s="3" t="s">
        <v>11</v>
      </c>
      <c r="E18" s="3">
        <v>12</v>
      </c>
      <c r="F18" s="3">
        <v>7500</v>
      </c>
      <c r="G18" s="4">
        <v>0.09</v>
      </c>
      <c r="H18" s="3">
        <v>1400</v>
      </c>
      <c r="I18" s="5">
        <f t="shared" si="0"/>
        <v>18.666666666666668</v>
      </c>
    </row>
    <row r="19" spans="1:31" ht="16" x14ac:dyDescent="0.4">
      <c r="A19" s="2">
        <v>45309</v>
      </c>
      <c r="B19" s="3" t="s">
        <v>15</v>
      </c>
      <c r="C19" s="3" t="s">
        <v>16</v>
      </c>
      <c r="D19" s="3" t="s">
        <v>17</v>
      </c>
      <c r="E19" s="3">
        <v>7</v>
      </c>
      <c r="F19" s="3">
        <v>5200</v>
      </c>
      <c r="G19" s="4">
        <v>0.06</v>
      </c>
      <c r="H19" s="3">
        <v>1000</v>
      </c>
      <c r="I19" s="5">
        <f t="shared" si="0"/>
        <v>19.230769230769234</v>
      </c>
      <c r="O19" s="9" t="s">
        <v>43</v>
      </c>
      <c r="AE19" s="6" t="s">
        <v>44</v>
      </c>
    </row>
    <row r="20" spans="1:31" x14ac:dyDescent="0.35">
      <c r="A20" s="2">
        <v>45310</v>
      </c>
      <c r="B20" s="3" t="s">
        <v>18</v>
      </c>
      <c r="C20" s="3" t="s">
        <v>19</v>
      </c>
      <c r="D20" s="3" t="s">
        <v>20</v>
      </c>
      <c r="E20" s="3">
        <v>11</v>
      </c>
      <c r="F20" s="3">
        <v>6800</v>
      </c>
      <c r="G20" s="4">
        <v>0.05</v>
      </c>
      <c r="H20" s="3">
        <v>1300</v>
      </c>
      <c r="I20" s="5">
        <f t="shared" si="0"/>
        <v>19.117647058823529</v>
      </c>
      <c r="O20" s="9" t="s">
        <v>45</v>
      </c>
    </row>
    <row r="21" spans="1:31" x14ac:dyDescent="0.35">
      <c r="A21" s="2">
        <v>45311</v>
      </c>
      <c r="B21" s="3" t="s">
        <v>24</v>
      </c>
      <c r="C21" s="3" t="s">
        <v>25</v>
      </c>
      <c r="D21" s="3" t="s">
        <v>26</v>
      </c>
      <c r="E21" s="3">
        <v>5</v>
      </c>
      <c r="F21" s="3">
        <v>4300</v>
      </c>
      <c r="G21" s="4">
        <v>7.0000000000000007E-2</v>
      </c>
      <c r="H21" s="3">
        <v>850</v>
      </c>
      <c r="I21" s="5">
        <f t="shared" si="0"/>
        <v>19.767441860465116</v>
      </c>
      <c r="AE21" s="7" t="s">
        <v>46</v>
      </c>
    </row>
    <row r="22" spans="1:31" x14ac:dyDescent="0.35">
      <c r="AE22" s="7" t="s">
        <v>47</v>
      </c>
    </row>
    <row r="23" spans="1:31" ht="16" x14ac:dyDescent="0.4">
      <c r="U23" s="6" t="s">
        <v>48</v>
      </c>
    </row>
    <row r="24" spans="1:31" x14ac:dyDescent="0.35">
      <c r="AE24" s="9" t="s">
        <v>49</v>
      </c>
    </row>
    <row r="25" spans="1:31" x14ac:dyDescent="0.35">
      <c r="U25" s="7" t="s">
        <v>50</v>
      </c>
    </row>
    <row r="26" spans="1:31" ht="15" thickBot="1" x14ac:dyDescent="0.4"/>
    <row r="27" spans="1:31" ht="16.5" thickBot="1" x14ac:dyDescent="0.45">
      <c r="L27" s="6" t="s">
        <v>51</v>
      </c>
      <c r="U27" s="35" t="s">
        <v>2</v>
      </c>
      <c r="V27" s="25" t="s">
        <v>52</v>
      </c>
      <c r="X27" s="26" t="s">
        <v>53</v>
      </c>
      <c r="Y27" s="27"/>
      <c r="Z27" s="28"/>
    </row>
    <row r="28" spans="1:31" x14ac:dyDescent="0.35">
      <c r="U28" s="14" t="s">
        <v>19</v>
      </c>
      <c r="V28" s="12">
        <v>7100</v>
      </c>
    </row>
    <row r="29" spans="1:31" x14ac:dyDescent="0.35">
      <c r="L29" s="7" t="s">
        <v>54</v>
      </c>
      <c r="U29" s="14" t="s">
        <v>10</v>
      </c>
      <c r="V29" s="16">
        <v>6100</v>
      </c>
    </row>
    <row r="30" spans="1:31" ht="15" thickBot="1" x14ac:dyDescent="0.4">
      <c r="U30" s="14" t="s">
        <v>16</v>
      </c>
      <c r="V30" s="16">
        <v>5900</v>
      </c>
    </row>
    <row r="31" spans="1:31" ht="15" thickBot="1" x14ac:dyDescent="0.4">
      <c r="L31" s="37" t="s">
        <v>1</v>
      </c>
      <c r="M31" s="10" t="s">
        <v>28</v>
      </c>
      <c r="U31" s="14" t="s">
        <v>25</v>
      </c>
      <c r="V31" s="16">
        <v>5650</v>
      </c>
    </row>
    <row r="32" spans="1:31" ht="15" thickBot="1" x14ac:dyDescent="0.4">
      <c r="L32" s="29">
        <v>45292</v>
      </c>
      <c r="M32" s="12">
        <v>5000</v>
      </c>
      <c r="U32" s="18" t="s">
        <v>33</v>
      </c>
      <c r="V32" s="19">
        <v>24750</v>
      </c>
    </row>
    <row r="33" spans="12:28" x14ac:dyDescent="0.35">
      <c r="L33" s="29">
        <v>45293</v>
      </c>
      <c r="M33" s="16">
        <v>7000</v>
      </c>
    </row>
    <row r="34" spans="12:28" x14ac:dyDescent="0.35">
      <c r="L34" s="29">
        <v>45294</v>
      </c>
      <c r="M34" s="16">
        <v>4000</v>
      </c>
    </row>
    <row r="35" spans="12:28" x14ac:dyDescent="0.35">
      <c r="L35" s="29">
        <v>45295</v>
      </c>
      <c r="M35" s="16">
        <v>3000</v>
      </c>
    </row>
    <row r="36" spans="12:28" ht="16" x14ac:dyDescent="0.4">
      <c r="L36" s="29">
        <v>45296</v>
      </c>
      <c r="M36" s="16">
        <v>8400</v>
      </c>
      <c r="U36" s="6" t="s">
        <v>55</v>
      </c>
    </row>
    <row r="37" spans="12:28" x14ac:dyDescent="0.35">
      <c r="L37" s="29">
        <v>45297</v>
      </c>
      <c r="M37" s="16">
        <v>4900</v>
      </c>
    </row>
    <row r="38" spans="12:28" x14ac:dyDescent="0.35">
      <c r="L38" s="29">
        <v>45298</v>
      </c>
      <c r="M38" s="16">
        <v>10500</v>
      </c>
      <c r="O38" s="9" t="s">
        <v>56</v>
      </c>
      <c r="U38" s="7" t="s">
        <v>57</v>
      </c>
    </row>
    <row r="39" spans="12:28" x14ac:dyDescent="0.35">
      <c r="L39" s="29">
        <v>45299</v>
      </c>
      <c r="M39" s="16">
        <v>6200</v>
      </c>
      <c r="O39" s="9" t="s">
        <v>58</v>
      </c>
      <c r="U39" s="7" t="s">
        <v>59</v>
      </c>
    </row>
    <row r="40" spans="12:28" ht="15" thickBot="1" x14ac:dyDescent="0.4">
      <c r="L40" s="29">
        <v>45300</v>
      </c>
      <c r="M40" s="16">
        <v>2800</v>
      </c>
    </row>
    <row r="41" spans="12:28" ht="15" thickBot="1" x14ac:dyDescent="0.4">
      <c r="L41" s="29">
        <v>45301</v>
      </c>
      <c r="M41" s="16">
        <v>7700</v>
      </c>
      <c r="U41" s="36" t="s">
        <v>2</v>
      </c>
      <c r="V41" s="8" t="s">
        <v>60</v>
      </c>
      <c r="X41" s="30" t="s">
        <v>61</v>
      </c>
      <c r="Y41" s="27"/>
      <c r="Z41" s="27"/>
      <c r="AA41" s="27"/>
      <c r="AB41" s="28"/>
    </row>
    <row r="42" spans="12:28" x14ac:dyDescent="0.35">
      <c r="L42" s="29">
        <v>45302</v>
      </c>
      <c r="M42" s="16">
        <v>3600</v>
      </c>
      <c r="U42" s="14" t="s">
        <v>24</v>
      </c>
      <c r="V42" s="31">
        <v>9.1999999999999998E-2</v>
      </c>
    </row>
    <row r="43" spans="12:28" x14ac:dyDescent="0.35">
      <c r="L43" s="29">
        <v>45303</v>
      </c>
      <c r="M43" s="16">
        <v>9100</v>
      </c>
      <c r="U43" s="14" t="s">
        <v>9</v>
      </c>
      <c r="V43" s="32">
        <v>8.4000000000000005E-2</v>
      </c>
    </row>
    <row r="44" spans="12:28" x14ac:dyDescent="0.35">
      <c r="L44" s="29">
        <v>45304</v>
      </c>
      <c r="M44" s="16">
        <v>8000</v>
      </c>
      <c r="U44" s="14" t="s">
        <v>15</v>
      </c>
      <c r="V44" s="32">
        <v>5.6000000000000008E-2</v>
      </c>
    </row>
    <row r="45" spans="12:28" ht="15" thickBot="1" x14ac:dyDescent="0.4">
      <c r="L45" s="29">
        <v>45305</v>
      </c>
      <c r="M45" s="16">
        <v>4800</v>
      </c>
      <c r="U45" s="14" t="s">
        <v>18</v>
      </c>
      <c r="V45" s="32">
        <v>5.2000000000000005E-2</v>
      </c>
    </row>
    <row r="46" spans="12:28" ht="15" thickBot="1" x14ac:dyDescent="0.4">
      <c r="L46" s="29">
        <v>45306</v>
      </c>
      <c r="M46" s="16">
        <v>9900</v>
      </c>
      <c r="U46" s="18" t="s">
        <v>33</v>
      </c>
      <c r="V46" s="33">
        <v>7.1000000000000035E-2</v>
      </c>
    </row>
    <row r="47" spans="12:28" x14ac:dyDescent="0.35">
      <c r="L47" s="29">
        <v>45307</v>
      </c>
      <c r="M47" s="16">
        <v>5700</v>
      </c>
    </row>
    <row r="48" spans="12:28" x14ac:dyDescent="0.35">
      <c r="L48" s="29">
        <v>45308</v>
      </c>
      <c r="M48" s="16">
        <v>7500</v>
      </c>
    </row>
    <row r="49" spans="12:22" ht="16" x14ac:dyDescent="0.4">
      <c r="L49" s="29">
        <v>45309</v>
      </c>
      <c r="M49" s="16">
        <v>5200</v>
      </c>
      <c r="U49" s="6" t="s">
        <v>62</v>
      </c>
    </row>
    <row r="50" spans="12:22" x14ac:dyDescent="0.35">
      <c r="L50" s="29">
        <v>45310</v>
      </c>
      <c r="M50" s="16">
        <v>6800</v>
      </c>
    </row>
    <row r="51" spans="12:22" ht="15" thickBot="1" x14ac:dyDescent="0.4">
      <c r="L51" s="29">
        <v>45311</v>
      </c>
      <c r="M51" s="16">
        <v>4300</v>
      </c>
      <c r="U51" s="7" t="s">
        <v>63</v>
      </c>
    </row>
    <row r="52" spans="12:22" ht="15" thickBot="1" x14ac:dyDescent="0.4">
      <c r="L52" s="34" t="s">
        <v>33</v>
      </c>
      <c r="M52" s="19">
        <v>124400</v>
      </c>
    </row>
    <row r="53" spans="12:22" ht="15" thickBot="1" x14ac:dyDescent="0.4">
      <c r="U53" s="35" t="s">
        <v>3</v>
      </c>
      <c r="V53" s="10" t="s">
        <v>28</v>
      </c>
    </row>
    <row r="54" spans="12:22" ht="15" thickBot="1" x14ac:dyDescent="0.4">
      <c r="U54" s="14" t="s">
        <v>11</v>
      </c>
      <c r="V54" s="12">
        <v>25000</v>
      </c>
    </row>
    <row r="55" spans="12:22" ht="15" thickBot="1" x14ac:dyDescent="0.4">
      <c r="U55" s="18" t="s">
        <v>33</v>
      </c>
      <c r="V55" s="19">
        <v>25000</v>
      </c>
    </row>
  </sheetData>
  <conditionalFormatting sqref="H2:H21">
    <cfRule type="cellIs" dxfId="69" priority="1" operator="lessThan">
      <formula>1000</formula>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5794-9BA7-4028-8959-8663DE82E881}">
  <dimension ref="A6:G73"/>
  <sheetViews>
    <sheetView zoomScale="39" workbookViewId="0">
      <selection activeCell="B62" sqref="B62"/>
    </sheetView>
  </sheetViews>
  <sheetFormatPr defaultRowHeight="14.5" x14ac:dyDescent="0.35"/>
  <cols>
    <col min="1" max="1" width="12.36328125" bestFit="1" customWidth="1"/>
    <col min="2" max="3" width="12.36328125" customWidth="1"/>
    <col min="4" max="4" width="13.6328125" bestFit="1" customWidth="1"/>
    <col min="5" max="5" width="13.36328125" bestFit="1" customWidth="1"/>
    <col min="6" max="6" width="14.36328125" bestFit="1" customWidth="1"/>
    <col min="7" max="7" width="12.90625" bestFit="1" customWidth="1"/>
  </cols>
  <sheetData>
    <row r="6" spans="1:6" x14ac:dyDescent="0.35">
      <c r="A6" s="7" t="s">
        <v>64</v>
      </c>
      <c r="B6" s="7" t="s">
        <v>65</v>
      </c>
      <c r="C6" s="7"/>
      <c r="E6" s="43" t="s">
        <v>1</v>
      </c>
      <c r="F6" t="s">
        <v>28</v>
      </c>
    </row>
    <row r="7" spans="1:6" x14ac:dyDescent="0.35">
      <c r="E7" s="39" t="s">
        <v>9</v>
      </c>
      <c r="F7" s="44">
        <v>31700</v>
      </c>
    </row>
    <row r="8" spans="1:6" x14ac:dyDescent="0.35">
      <c r="E8" s="39" t="s">
        <v>18</v>
      </c>
      <c r="F8" s="44">
        <v>34800</v>
      </c>
    </row>
    <row r="9" spans="1:6" x14ac:dyDescent="0.35">
      <c r="E9" s="39" t="s">
        <v>24</v>
      </c>
      <c r="F9" s="44">
        <v>28300</v>
      </c>
    </row>
    <row r="10" spans="1:6" x14ac:dyDescent="0.35">
      <c r="E10" s="39" t="s">
        <v>15</v>
      </c>
      <c r="F10" s="44">
        <v>29600</v>
      </c>
    </row>
    <row r="11" spans="1:6" x14ac:dyDescent="0.35">
      <c r="E11" s="39" t="s">
        <v>33</v>
      </c>
      <c r="F11" s="44">
        <v>124400</v>
      </c>
    </row>
    <row r="14" spans="1:6" x14ac:dyDescent="0.35">
      <c r="A14" s="7" t="s">
        <v>66</v>
      </c>
      <c r="B14" s="7" t="s">
        <v>67</v>
      </c>
      <c r="C14" s="7"/>
      <c r="E14" s="43" t="s">
        <v>2</v>
      </c>
      <c r="F14" t="s">
        <v>28</v>
      </c>
    </row>
    <row r="15" spans="1:6" x14ac:dyDescent="0.35">
      <c r="E15" s="39" t="s">
        <v>25</v>
      </c>
      <c r="F15" s="44">
        <v>28300</v>
      </c>
    </row>
    <row r="16" spans="1:6" x14ac:dyDescent="0.35">
      <c r="E16" s="39" t="s">
        <v>16</v>
      </c>
      <c r="F16" s="44">
        <v>29600</v>
      </c>
    </row>
    <row r="17" spans="1:6" x14ac:dyDescent="0.35">
      <c r="E17" s="39" t="s">
        <v>10</v>
      </c>
      <c r="F17" s="44">
        <v>31700</v>
      </c>
    </row>
    <row r="18" spans="1:6" x14ac:dyDescent="0.35">
      <c r="E18" s="39" t="s">
        <v>19</v>
      </c>
      <c r="F18" s="44">
        <v>34800</v>
      </c>
    </row>
    <row r="19" spans="1:6" x14ac:dyDescent="0.35">
      <c r="E19" s="39" t="s">
        <v>33</v>
      </c>
      <c r="F19" s="44">
        <v>124400</v>
      </c>
    </row>
    <row r="22" spans="1:6" x14ac:dyDescent="0.35">
      <c r="A22" s="7" t="s">
        <v>68</v>
      </c>
      <c r="B22" s="7" t="s">
        <v>69</v>
      </c>
      <c r="C22" s="7"/>
      <c r="E22" s="43" t="s">
        <v>3</v>
      </c>
      <c r="F22" t="s">
        <v>70</v>
      </c>
    </row>
    <row r="23" spans="1:6" x14ac:dyDescent="0.35">
      <c r="E23" s="39" t="s">
        <v>11</v>
      </c>
      <c r="F23" s="44">
        <v>36</v>
      </c>
    </row>
    <row r="24" spans="1:6" x14ac:dyDescent="0.35">
      <c r="E24" s="39" t="s">
        <v>26</v>
      </c>
      <c r="F24" s="44">
        <v>53</v>
      </c>
    </row>
    <row r="25" spans="1:6" x14ac:dyDescent="0.35">
      <c r="E25" s="39" t="s">
        <v>17</v>
      </c>
      <c r="F25" s="44">
        <v>50</v>
      </c>
    </row>
    <row r="26" spans="1:6" x14ac:dyDescent="0.35">
      <c r="E26" s="39" t="s">
        <v>20</v>
      </c>
      <c r="F26" s="44">
        <v>43</v>
      </c>
    </row>
    <row r="27" spans="1:6" x14ac:dyDescent="0.35">
      <c r="E27" s="39" t="s">
        <v>33</v>
      </c>
      <c r="F27" s="44">
        <v>182</v>
      </c>
    </row>
    <row r="30" spans="1:6" x14ac:dyDescent="0.35">
      <c r="A30" s="7" t="s">
        <v>71</v>
      </c>
      <c r="B30" s="7" t="s">
        <v>72</v>
      </c>
      <c r="C30" s="7"/>
      <c r="E30" s="43" t="s">
        <v>0</v>
      </c>
      <c r="F30" t="s">
        <v>28</v>
      </c>
    </row>
    <row r="31" spans="1:6" x14ac:dyDescent="0.35">
      <c r="E31" s="40">
        <v>45300</v>
      </c>
      <c r="F31" s="44">
        <v>2800</v>
      </c>
    </row>
    <row r="32" spans="1:6" x14ac:dyDescent="0.35">
      <c r="E32" s="40">
        <v>45295</v>
      </c>
      <c r="F32" s="44">
        <v>3000</v>
      </c>
    </row>
    <row r="33" spans="5:6" x14ac:dyDescent="0.35">
      <c r="E33" s="40">
        <v>45302</v>
      </c>
      <c r="F33" s="44">
        <v>3600</v>
      </c>
    </row>
    <row r="34" spans="5:6" x14ac:dyDescent="0.35">
      <c r="E34" s="40">
        <v>45294</v>
      </c>
      <c r="F34" s="44">
        <v>4000</v>
      </c>
    </row>
    <row r="35" spans="5:6" x14ac:dyDescent="0.35">
      <c r="E35" s="40">
        <v>45311</v>
      </c>
      <c r="F35" s="44">
        <v>4300</v>
      </c>
    </row>
    <row r="36" spans="5:6" x14ac:dyDescent="0.35">
      <c r="E36" s="40">
        <v>45305</v>
      </c>
      <c r="F36" s="44">
        <v>4800</v>
      </c>
    </row>
    <row r="37" spans="5:6" x14ac:dyDescent="0.35">
      <c r="E37" s="40">
        <v>45297</v>
      </c>
      <c r="F37" s="44">
        <v>4900</v>
      </c>
    </row>
    <row r="38" spans="5:6" x14ac:dyDescent="0.35">
      <c r="E38" s="40">
        <v>45292</v>
      </c>
      <c r="F38" s="44">
        <v>5000</v>
      </c>
    </row>
    <row r="39" spans="5:6" x14ac:dyDescent="0.35">
      <c r="E39" s="40">
        <v>45309</v>
      </c>
      <c r="F39" s="44">
        <v>5200</v>
      </c>
    </row>
    <row r="40" spans="5:6" x14ac:dyDescent="0.35">
      <c r="E40" s="40">
        <v>45307</v>
      </c>
      <c r="F40" s="44">
        <v>5700</v>
      </c>
    </row>
    <row r="41" spans="5:6" x14ac:dyDescent="0.35">
      <c r="E41" s="40">
        <v>45299</v>
      </c>
      <c r="F41" s="44">
        <v>6200</v>
      </c>
    </row>
    <row r="42" spans="5:6" x14ac:dyDescent="0.35">
      <c r="E42" s="40">
        <v>45310</v>
      </c>
      <c r="F42" s="44">
        <v>6800</v>
      </c>
    </row>
    <row r="43" spans="5:6" x14ac:dyDescent="0.35">
      <c r="E43" s="40">
        <v>45293</v>
      </c>
      <c r="F43" s="44">
        <v>7000</v>
      </c>
    </row>
    <row r="44" spans="5:6" x14ac:dyDescent="0.35">
      <c r="E44" s="40">
        <v>45308</v>
      </c>
      <c r="F44" s="44">
        <v>7500</v>
      </c>
    </row>
    <row r="45" spans="5:6" x14ac:dyDescent="0.35">
      <c r="E45" s="40">
        <v>45301</v>
      </c>
      <c r="F45" s="44">
        <v>7700</v>
      </c>
    </row>
    <row r="46" spans="5:6" x14ac:dyDescent="0.35">
      <c r="E46" s="40">
        <v>45304</v>
      </c>
      <c r="F46" s="44">
        <v>8000</v>
      </c>
    </row>
    <row r="47" spans="5:6" x14ac:dyDescent="0.35">
      <c r="E47" s="40">
        <v>45296</v>
      </c>
      <c r="F47" s="44">
        <v>8400</v>
      </c>
    </row>
    <row r="48" spans="5:6" x14ac:dyDescent="0.35">
      <c r="E48" s="40">
        <v>45303</v>
      </c>
      <c r="F48" s="44">
        <v>9100</v>
      </c>
    </row>
    <row r="49" spans="1:7" x14ac:dyDescent="0.35">
      <c r="E49" s="40">
        <v>45306</v>
      </c>
      <c r="F49" s="44">
        <v>9900</v>
      </c>
    </row>
    <row r="50" spans="1:7" x14ac:dyDescent="0.35">
      <c r="E50" s="40">
        <v>45298</v>
      </c>
      <c r="F50" s="44">
        <v>10500</v>
      </c>
    </row>
    <row r="51" spans="1:7" x14ac:dyDescent="0.35">
      <c r="E51" s="40" t="s">
        <v>33</v>
      </c>
      <c r="F51" s="44">
        <v>124400</v>
      </c>
    </row>
    <row r="54" spans="1:7" x14ac:dyDescent="0.35">
      <c r="A54" s="7" t="s">
        <v>73</v>
      </c>
      <c r="B54" s="7" t="s">
        <v>74</v>
      </c>
      <c r="C54" s="7"/>
      <c r="E54" s="43" t="s">
        <v>1</v>
      </c>
      <c r="F54" t="s">
        <v>52</v>
      </c>
    </row>
    <row r="55" spans="1:7" x14ac:dyDescent="0.35">
      <c r="E55" s="39" t="s">
        <v>9</v>
      </c>
      <c r="F55" s="44">
        <v>6100</v>
      </c>
    </row>
    <row r="56" spans="1:7" x14ac:dyDescent="0.35">
      <c r="E56" s="39" t="s">
        <v>18</v>
      </c>
      <c r="F56" s="44">
        <v>7100</v>
      </c>
    </row>
    <row r="57" spans="1:7" x14ac:dyDescent="0.35">
      <c r="E57" s="39" t="s">
        <v>24</v>
      </c>
      <c r="F57" s="44">
        <v>5650</v>
      </c>
    </row>
    <row r="58" spans="1:7" x14ac:dyDescent="0.35">
      <c r="E58" s="39" t="s">
        <v>15</v>
      </c>
      <c r="F58" s="44">
        <v>5900</v>
      </c>
    </row>
    <row r="59" spans="1:7" x14ac:dyDescent="0.35">
      <c r="E59" s="39" t="s">
        <v>33</v>
      </c>
      <c r="F59" s="44">
        <v>24750</v>
      </c>
    </row>
    <row r="62" spans="1:7" x14ac:dyDescent="0.35">
      <c r="A62" s="7" t="s">
        <v>75</v>
      </c>
      <c r="B62" s="7" t="s">
        <v>76</v>
      </c>
      <c r="C62" s="7"/>
      <c r="E62" s="43" t="s">
        <v>1</v>
      </c>
      <c r="F62" t="s">
        <v>60</v>
      </c>
      <c r="G62" t="s">
        <v>77</v>
      </c>
    </row>
    <row r="63" spans="1:7" x14ac:dyDescent="0.35">
      <c r="E63" s="39" t="s">
        <v>9</v>
      </c>
      <c r="F63" s="41">
        <v>8.4000000000000005E-2</v>
      </c>
      <c r="G63" s="42">
        <v>1.1830985915492953</v>
      </c>
    </row>
    <row r="64" spans="1:7" x14ac:dyDescent="0.35">
      <c r="E64" s="39" t="s">
        <v>18</v>
      </c>
      <c r="F64" s="41">
        <v>5.2000000000000005E-2</v>
      </c>
      <c r="G64" s="42">
        <v>0.73239436619718279</v>
      </c>
    </row>
    <row r="65" spans="1:7" x14ac:dyDescent="0.35">
      <c r="E65" s="39" t="s">
        <v>24</v>
      </c>
      <c r="F65" s="41">
        <v>9.1999999999999998E-2</v>
      </c>
      <c r="G65" s="42">
        <v>1.2957746478873233</v>
      </c>
    </row>
    <row r="66" spans="1:7" x14ac:dyDescent="0.35">
      <c r="E66" s="39" t="s">
        <v>15</v>
      </c>
      <c r="F66" s="41">
        <v>5.6000000000000008E-2</v>
      </c>
      <c r="G66" s="42">
        <v>0.78873239436619691</v>
      </c>
    </row>
    <row r="67" spans="1:7" x14ac:dyDescent="0.35">
      <c r="E67" s="39" t="s">
        <v>33</v>
      </c>
      <c r="F67" s="41">
        <v>7.1000000000000035E-2</v>
      </c>
      <c r="G67" s="42">
        <v>1</v>
      </c>
    </row>
    <row r="69" spans="1:7" x14ac:dyDescent="0.35">
      <c r="A69" s="7"/>
      <c r="B69" s="7"/>
      <c r="C69" s="7"/>
    </row>
    <row r="71" spans="1:7" x14ac:dyDescent="0.35">
      <c r="A71" s="7" t="s">
        <v>78</v>
      </c>
      <c r="B71" s="7" t="s">
        <v>79</v>
      </c>
      <c r="C71" s="7"/>
      <c r="E71" t="s">
        <v>28</v>
      </c>
      <c r="F71" t="s">
        <v>52</v>
      </c>
      <c r="G71" t="s">
        <v>80</v>
      </c>
    </row>
    <row r="72" spans="1:7" x14ac:dyDescent="0.35">
      <c r="E72" s="44">
        <v>124400</v>
      </c>
      <c r="F72" s="44">
        <v>24750</v>
      </c>
      <c r="G72" s="5">
        <v>19.588541077353902</v>
      </c>
    </row>
    <row r="73" spans="1:7" x14ac:dyDescent="0.35">
      <c r="D73" t="s">
        <v>84</v>
      </c>
      <c r="E73">
        <f>GETPIVOTDATA("Sum of Revenue",$E$71)</f>
        <v>124400</v>
      </c>
      <c r="F73">
        <f>GETPIVOTDATA("Sum of Profit",$E$71)</f>
        <v>24750</v>
      </c>
      <c r="G73" s="5">
        <f>GETPIVOTDATA("Average of Profit Margin %",$E$71)</f>
        <v>19.588541077353902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5D297-E223-4ABA-A007-616E14C93FA4}">
  <dimension ref="K1:AP125"/>
  <sheetViews>
    <sheetView zoomScale="22" zoomScaleNormal="22" workbookViewId="0">
      <selection activeCell="B8" sqref="B8"/>
    </sheetView>
  </sheetViews>
  <sheetFormatPr defaultColWidth="9.08984375" defaultRowHeight="14.5" x14ac:dyDescent="0.35"/>
  <cols>
    <col min="1" max="17" width="9.08984375" style="45"/>
    <col min="18" max="18" width="6.7265625" style="45" bestFit="1" customWidth="1"/>
    <col min="19" max="16384" width="9.08984375" style="45"/>
  </cols>
  <sheetData>
    <row r="1" spans="23:28" ht="15" thickBot="1" x14ac:dyDescent="0.4"/>
    <row r="2" spans="23:28" ht="15" thickTop="1" x14ac:dyDescent="0.35">
      <c r="W2" s="46"/>
      <c r="X2" s="47"/>
      <c r="Y2" s="47"/>
      <c r="Z2" s="47"/>
      <c r="AA2" s="47"/>
      <c r="AB2" s="48"/>
    </row>
    <row r="3" spans="23:28" x14ac:dyDescent="0.35">
      <c r="W3" s="49"/>
      <c r="X3" s="50"/>
      <c r="Y3" s="50"/>
      <c r="Z3" s="50"/>
      <c r="AA3" s="50"/>
      <c r="AB3" s="51"/>
    </row>
    <row r="4" spans="23:28" ht="15" thickBot="1" x14ac:dyDescent="0.4">
      <c r="W4" s="52"/>
      <c r="X4" s="53"/>
      <c r="Y4" s="53"/>
      <c r="Z4" s="53"/>
      <c r="AA4" s="53"/>
      <c r="AB4" s="54"/>
    </row>
    <row r="5" spans="23:28" ht="15" thickTop="1" x14ac:dyDescent="0.35"/>
    <row r="27" spans="18:32" ht="15" thickBot="1" x14ac:dyDescent="0.4"/>
    <row r="28" spans="18:32" ht="15" thickTop="1" x14ac:dyDescent="0.35">
      <c r="R28" s="55"/>
      <c r="S28" s="56"/>
      <c r="T28" s="57"/>
      <c r="X28" s="55"/>
      <c r="Y28" s="56"/>
      <c r="Z28" s="57"/>
      <c r="AD28" s="55"/>
      <c r="AE28" s="56"/>
      <c r="AF28" s="57"/>
    </row>
    <row r="29" spans="18:32" x14ac:dyDescent="0.35">
      <c r="R29" s="58"/>
      <c r="T29" s="59"/>
      <c r="X29" s="58"/>
      <c r="Z29" s="59"/>
      <c r="AD29" s="58"/>
      <c r="AF29" s="59"/>
    </row>
    <row r="30" spans="18:32" x14ac:dyDescent="0.35">
      <c r="R30" s="58"/>
      <c r="T30" s="59"/>
      <c r="X30" s="58"/>
      <c r="Z30" s="59"/>
      <c r="AD30" s="58"/>
      <c r="AF30" s="59"/>
    </row>
    <row r="31" spans="18:32" ht="15" thickBot="1" x14ac:dyDescent="0.4">
      <c r="R31" s="60"/>
      <c r="S31" s="61"/>
      <c r="T31" s="62"/>
      <c r="X31" s="60"/>
      <c r="Y31" s="61"/>
      <c r="Z31" s="62"/>
      <c r="AD31" s="60"/>
      <c r="AE31" s="61"/>
      <c r="AF31" s="62"/>
    </row>
    <row r="32" spans="18:32" ht="15.5" thickTop="1" thickBot="1" x14ac:dyDescent="0.4"/>
    <row r="33" spans="11:42" ht="21.5" thickBot="1" x14ac:dyDescent="0.55000000000000004">
      <c r="R33" s="63" t="s">
        <v>81</v>
      </c>
      <c r="S33" s="64"/>
      <c r="T33" s="65"/>
      <c r="X33" s="63" t="s">
        <v>82</v>
      </c>
      <c r="Y33" s="64"/>
      <c r="Z33" s="65"/>
      <c r="AD33" s="63" t="s">
        <v>83</v>
      </c>
      <c r="AE33" s="64"/>
      <c r="AF33" s="65"/>
    </row>
    <row r="37" spans="11:42" ht="14.25" customHeight="1" x14ac:dyDescent="0.35">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row>
    <row r="38" spans="11:42" x14ac:dyDescent="0.35">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row>
    <row r="39" spans="11:42" x14ac:dyDescent="0.35">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row>
    <row r="40" spans="11:42" x14ac:dyDescent="0.35">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row>
    <row r="41" spans="11:42" x14ac:dyDescent="0.35">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row>
    <row r="42" spans="11:42" x14ac:dyDescent="0.35">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row>
    <row r="43" spans="11:42" x14ac:dyDescent="0.35">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row>
    <row r="44" spans="11:42" x14ac:dyDescent="0.35">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row>
    <row r="45" spans="11:42" x14ac:dyDescent="0.35">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row>
    <row r="46" spans="11:42" x14ac:dyDescent="0.35">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row>
    <row r="47" spans="11:42" x14ac:dyDescent="0.35">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row>
    <row r="48" spans="11:42" x14ac:dyDescent="0.35">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row>
    <row r="49" spans="11:42" x14ac:dyDescent="0.35">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c r="AJ49" s="66"/>
      <c r="AK49" s="66"/>
      <c r="AL49" s="66"/>
      <c r="AM49" s="66"/>
      <c r="AN49" s="66"/>
      <c r="AO49" s="66"/>
      <c r="AP49" s="66"/>
    </row>
    <row r="50" spans="11:42" x14ac:dyDescent="0.35">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row>
    <row r="51" spans="11:42" x14ac:dyDescent="0.35">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row>
    <row r="52" spans="11:42" x14ac:dyDescent="0.35">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row>
    <row r="53" spans="11:42" x14ac:dyDescent="0.35">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c r="AJ53" s="66"/>
      <c r="AK53" s="66"/>
      <c r="AL53" s="66"/>
      <c r="AM53" s="66"/>
      <c r="AN53" s="66"/>
      <c r="AO53" s="66"/>
      <c r="AP53" s="66"/>
    </row>
    <row r="54" spans="11:42" x14ac:dyDescent="0.35">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c r="AJ54" s="66"/>
      <c r="AK54" s="66"/>
      <c r="AL54" s="66"/>
      <c r="AM54" s="66"/>
      <c r="AN54" s="66"/>
      <c r="AO54" s="66"/>
      <c r="AP54" s="66"/>
    </row>
    <row r="55" spans="11:42" x14ac:dyDescent="0.35">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row>
    <row r="56" spans="11:42" x14ac:dyDescent="0.35">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row>
    <row r="57" spans="11:42" x14ac:dyDescent="0.35">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row>
    <row r="58" spans="11:42" x14ac:dyDescent="0.35">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c r="AJ58" s="66"/>
      <c r="AK58" s="66"/>
      <c r="AL58" s="66"/>
      <c r="AM58" s="66"/>
      <c r="AN58" s="66"/>
      <c r="AO58" s="67"/>
      <c r="AP58" s="66"/>
    </row>
    <row r="59" spans="11:42" x14ac:dyDescent="0.35">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c r="AJ59" s="66"/>
      <c r="AK59" s="66"/>
      <c r="AL59" s="66"/>
      <c r="AM59" s="66"/>
      <c r="AN59" s="66"/>
      <c r="AO59" s="66"/>
      <c r="AP59" s="66"/>
    </row>
    <row r="60" spans="11:42" x14ac:dyDescent="0.35">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c r="AJ60" s="66"/>
      <c r="AK60" s="66"/>
      <c r="AL60" s="66"/>
      <c r="AM60" s="66"/>
      <c r="AN60" s="66"/>
      <c r="AO60" s="66"/>
      <c r="AP60" s="66"/>
    </row>
    <row r="61" spans="11:42" x14ac:dyDescent="0.35">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c r="AJ61" s="66"/>
      <c r="AK61" s="66"/>
      <c r="AL61" s="66"/>
      <c r="AM61" s="66"/>
      <c r="AN61" s="66"/>
      <c r="AO61" s="66"/>
      <c r="AP61" s="66"/>
    </row>
    <row r="62" spans="11:42" x14ac:dyDescent="0.35">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c r="AJ62" s="66"/>
      <c r="AK62" s="66"/>
      <c r="AL62" s="66"/>
      <c r="AM62" s="66"/>
      <c r="AN62" s="66"/>
      <c r="AO62" s="66"/>
      <c r="AP62" s="66"/>
    </row>
    <row r="63" spans="11:42" x14ac:dyDescent="0.35">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row>
    <row r="64" spans="11:42" x14ac:dyDescent="0.35">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c r="AJ64" s="66"/>
      <c r="AK64" s="66"/>
      <c r="AL64" s="66"/>
      <c r="AM64" s="66"/>
      <c r="AN64" s="66"/>
      <c r="AO64" s="66"/>
      <c r="AP64" s="66"/>
    </row>
    <row r="65" spans="11:42" x14ac:dyDescent="0.35">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c r="AJ65" s="66"/>
      <c r="AK65" s="66"/>
      <c r="AL65" s="66"/>
      <c r="AM65" s="66"/>
      <c r="AN65" s="66"/>
      <c r="AO65" s="66"/>
      <c r="AP65" s="66"/>
    </row>
    <row r="66" spans="11:42" x14ac:dyDescent="0.35">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c r="AJ66" s="66"/>
      <c r="AK66" s="66"/>
      <c r="AL66" s="66"/>
      <c r="AM66" s="66"/>
      <c r="AN66" s="66"/>
      <c r="AO66" s="66"/>
      <c r="AP66" s="66"/>
    </row>
    <row r="67" spans="11:42" x14ac:dyDescent="0.35">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row>
    <row r="68" spans="11:42" x14ac:dyDescent="0.35">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row>
    <row r="69" spans="11:42" x14ac:dyDescent="0.35">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c r="AJ69" s="66"/>
      <c r="AK69" s="66"/>
      <c r="AL69" s="66"/>
      <c r="AM69" s="66"/>
      <c r="AN69" s="66"/>
      <c r="AO69" s="66"/>
      <c r="AP69" s="66"/>
    </row>
    <row r="70" spans="11:42" x14ac:dyDescent="0.35">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row>
    <row r="71" spans="11:42" x14ac:dyDescent="0.35">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row>
    <row r="72" spans="11:42" x14ac:dyDescent="0.35">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row>
    <row r="73" spans="11:42" x14ac:dyDescent="0.35">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row>
    <row r="74" spans="11:42" x14ac:dyDescent="0.35">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row>
    <row r="75" spans="11:42" x14ac:dyDescent="0.35">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row>
    <row r="76" spans="11:42" x14ac:dyDescent="0.35">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row>
    <row r="77" spans="11:42" x14ac:dyDescent="0.35">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row>
    <row r="78" spans="11:42" x14ac:dyDescent="0.35">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row>
    <row r="79" spans="11:42" x14ac:dyDescent="0.35">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row>
    <row r="80" spans="11:42" x14ac:dyDescent="0.35">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row>
    <row r="81" spans="11:42" x14ac:dyDescent="0.35">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row>
    <row r="82" spans="11:42" x14ac:dyDescent="0.35">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row>
    <row r="83" spans="11:42" x14ac:dyDescent="0.35">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row>
    <row r="84" spans="11:42" ht="12.75" customHeight="1" x14ac:dyDescent="0.35">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row>
    <row r="85" spans="11:42" x14ac:dyDescent="0.35">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row>
    <row r="86" spans="11:42" x14ac:dyDescent="0.35">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row>
    <row r="87" spans="11:42" x14ac:dyDescent="0.35">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row>
    <row r="88" spans="11:42" x14ac:dyDescent="0.35">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row>
    <row r="89" spans="11:42" x14ac:dyDescent="0.35">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row>
    <row r="90" spans="11:42" x14ac:dyDescent="0.35">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row>
    <row r="91" spans="11:42" x14ac:dyDescent="0.35">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row>
    <row r="92" spans="11:42" x14ac:dyDescent="0.35">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row>
    <row r="93" spans="11:42" x14ac:dyDescent="0.35">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row>
    <row r="94" spans="11:42" x14ac:dyDescent="0.35">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row>
    <row r="95" spans="11:42" x14ac:dyDescent="0.35">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row>
    <row r="96" spans="11:42" x14ac:dyDescent="0.35">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row>
    <row r="97" spans="11:42" x14ac:dyDescent="0.35">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row>
    <row r="98" spans="11:42" x14ac:dyDescent="0.35">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row>
    <row r="99" spans="11:42" x14ac:dyDescent="0.35">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row>
    <row r="100" spans="11:42" x14ac:dyDescent="0.35">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row>
    <row r="101" spans="11:42" x14ac:dyDescent="0.35">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row>
    <row r="102" spans="11:42" x14ac:dyDescent="0.35">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row>
    <row r="103" spans="11:42" x14ac:dyDescent="0.35">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row>
    <row r="104" spans="11:42" x14ac:dyDescent="0.35">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row>
    <row r="105" spans="11:42" x14ac:dyDescent="0.35">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row>
    <row r="106" spans="11:42" x14ac:dyDescent="0.35">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row>
    <row r="107" spans="11:42" x14ac:dyDescent="0.35">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row>
    <row r="108" spans="11:42" x14ac:dyDescent="0.35">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row>
    <row r="109" spans="11:42" x14ac:dyDescent="0.35">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row>
    <row r="110" spans="11:42" x14ac:dyDescent="0.35">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row>
    <row r="111" spans="11:42" x14ac:dyDescent="0.35">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row>
    <row r="112" spans="11:42" x14ac:dyDescent="0.35">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row>
    <row r="113" spans="11:42" x14ac:dyDescent="0.35">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row>
    <row r="114" spans="11:42" x14ac:dyDescent="0.35">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row>
    <row r="115" spans="11:42" x14ac:dyDescent="0.35">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row>
    <row r="116" spans="11:42" x14ac:dyDescent="0.35">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row>
    <row r="117" spans="11:42" x14ac:dyDescent="0.35">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row>
    <row r="118" spans="11:42" x14ac:dyDescent="0.35">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row>
    <row r="119" spans="11:42" x14ac:dyDescent="0.35">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row>
    <row r="120" spans="11:42" x14ac:dyDescent="0.35">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row>
    <row r="121" spans="11:42" x14ac:dyDescent="0.35">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row>
    <row r="122" spans="11:42" x14ac:dyDescent="0.35">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row>
    <row r="123" spans="11:42" x14ac:dyDescent="0.35">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row>
    <row r="124" spans="11:42" x14ac:dyDescent="0.35">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row>
    <row r="125" spans="11:42" x14ac:dyDescent="0.35">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row>
  </sheetData>
  <mergeCells count="3">
    <mergeCell ref="R33:T33"/>
    <mergeCell ref="X33:Z33"/>
    <mergeCell ref="AD33:AF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 husain</dc:creator>
  <cp:lastModifiedBy>adil husain</cp:lastModifiedBy>
  <dcterms:created xsi:type="dcterms:W3CDTF">2026-02-01T09:15:49Z</dcterms:created>
  <dcterms:modified xsi:type="dcterms:W3CDTF">2026-02-01T09:54:37Z</dcterms:modified>
</cp:coreProperties>
</file>